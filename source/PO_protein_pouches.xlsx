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 order" sheetId="1" r:id="rId4"/>
  </sheets>
  <definedNames/>
  <calcPr/>
</workbook>
</file>

<file path=xl/sharedStrings.xml><?xml version="1.0" encoding="utf-8"?>
<sst xmlns="http://schemas.openxmlformats.org/spreadsheetml/2006/main" count="107" uniqueCount="70">
  <si>
    <t>Purchase Order</t>
  </si>
  <si>
    <t>Date</t>
  </si>
  <si>
    <t>P.O. Date</t>
  </si>
  <si>
    <t>Ship date</t>
  </si>
  <si>
    <t>Ship via</t>
  </si>
  <si>
    <t>P.O. Number</t>
  </si>
  <si>
    <t>N/A</t>
  </si>
  <si>
    <t>#41726</t>
  </si>
  <si>
    <t>Ship To</t>
  </si>
  <si>
    <t>Vendor</t>
  </si>
  <si>
    <t>Name: Danny</t>
  </si>
  <si>
    <t>Name: Michael Rino</t>
  </si>
  <si>
    <t>ProDough Shop</t>
  </si>
  <si>
    <t>Company: Professional Packaging Services (PPS)</t>
  </si>
  <si>
    <t>281 E 1600 N</t>
  </si>
  <si>
    <t>Address: 1192 E. Draper Parkway #345</t>
  </si>
  <si>
    <t>Vineyard, UT 84059</t>
  </si>
  <si>
    <t>Draper, UT 84020</t>
  </si>
  <si>
    <t>(773) 958-4218</t>
  </si>
  <si>
    <t>801-647-2889</t>
  </si>
  <si>
    <t>danny@prodoughshop.com</t>
  </si>
  <si>
    <t>mrino@propackserv.com</t>
  </si>
  <si>
    <t>Description</t>
  </si>
  <si>
    <t>Flavor</t>
  </si>
  <si>
    <t>QTY</t>
  </si>
  <si>
    <t>Unit Cost</t>
  </si>
  <si>
    <t>Total</t>
  </si>
  <si>
    <t>Large WHEY Protein Pouch</t>
  </si>
  <si>
    <t xml:space="preserve">Apple Pie </t>
  </si>
  <si>
    <t xml:space="preserve">Chocolate Mousse </t>
  </si>
  <si>
    <t xml:space="preserve">Chocolate Peanut Butter </t>
  </si>
  <si>
    <t xml:space="preserve">Coconut Cream </t>
  </si>
  <si>
    <t xml:space="preserve">Cookie Crumble </t>
  </si>
  <si>
    <t xml:space="preserve">Glazed Donut </t>
  </si>
  <si>
    <t xml:space="preserve">Horchata </t>
  </si>
  <si>
    <t xml:space="preserve">Iced Mocha </t>
  </si>
  <si>
    <t xml:space="preserve">Maple Donut </t>
  </si>
  <si>
    <t xml:space="preserve">Neapolitan </t>
  </si>
  <si>
    <t xml:space="preserve">Orange Cream </t>
  </si>
  <si>
    <t xml:space="preserve">Peach Cobbler </t>
  </si>
  <si>
    <t xml:space="preserve">Raspberry Cheesecake </t>
  </si>
  <si>
    <t xml:space="preserve">Snickerdoodle Cookie </t>
  </si>
  <si>
    <t xml:space="preserve">Strawberry Shortcake </t>
  </si>
  <si>
    <t xml:space="preserve">Vanilla Bean </t>
  </si>
  <si>
    <t xml:space="preserve">Pumpkin Spice </t>
  </si>
  <si>
    <t xml:space="preserve">Sugar Cookie </t>
  </si>
  <si>
    <t xml:space="preserve">Fruity Cereal </t>
  </si>
  <si>
    <t xml:space="preserve">Mint Chocolate </t>
  </si>
  <si>
    <t xml:space="preserve">Bananas Foster </t>
  </si>
  <si>
    <t xml:space="preserve">Birthday Cake </t>
  </si>
  <si>
    <t xml:space="preserve">Blueberry Muffin </t>
  </si>
  <si>
    <t xml:space="preserve">Cinnamon Roll </t>
  </si>
  <si>
    <t xml:space="preserve">Double Chocolate </t>
  </si>
  <si>
    <t xml:space="preserve">Key Lime Pie </t>
  </si>
  <si>
    <t xml:space="preserve">Lemon Cake </t>
  </si>
  <si>
    <t xml:space="preserve">Red Velvet </t>
  </si>
  <si>
    <t xml:space="preserve">Salted Caramel </t>
  </si>
  <si>
    <t>Large BEEF Protein Pouch</t>
  </si>
  <si>
    <t xml:space="preserve">Cinnamon Sugar </t>
  </si>
  <si>
    <t xml:space="preserve">Frosted Vanilla </t>
  </si>
  <si>
    <t xml:space="preserve">Toffee Cream </t>
  </si>
  <si>
    <t>Large PLANT Protein Pouch</t>
  </si>
  <si>
    <t xml:space="preserve">Brownie Batter </t>
  </si>
  <si>
    <t xml:space="preserve">Cafe Mocha </t>
  </si>
  <si>
    <t xml:space="preserve">Vanilla Cone </t>
  </si>
  <si>
    <t xml:space="preserve">Authorized By:              Daniel Augustyn CEO                                                                  </t>
  </si>
  <si>
    <t>Size: 10.00 W x 10.00 L + 3.00 G</t>
  </si>
  <si>
    <t>Structure: Karess Soft Touch Matte PET/White 48ga METPET/3.0mil Clear LLDPE</t>
  </si>
  <si>
    <t>Print: CMYK</t>
  </si>
  <si>
    <t>Zipper: Aplix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</si>
</sst>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00"/>
    <numFmt numFmtId="166" formatCode="&quot;$&quot;#,##0.00"/>
  </numFmts>
  <fonts count="29">
    <font>
      <sz val="10.0"/>
      <color rgb="FF000000"/>
      <name val="Arial"/>
    </font>
    <font>
      <color rgb="FF666666"/>
      <name val="Roboto"/>
    </font>
    <font>
      <name val="Roboto"/>
    </font>
    <font>
      <sz val="14.0"/>
      <name val="Roboto"/>
    </font>
    <font>
      <sz val="20.0"/>
      <color rgb="FF6D64E8"/>
      <name val="Roboto"/>
    </font>
    <font>
      <color rgb="FF6D64E8"/>
      <name val="Roboto"/>
    </font>
    <font>
      <sz val="10.0"/>
      <color rgb="FF666666"/>
      <name val="Roboto"/>
    </font>
    <font>
      <b/>
      <u/>
      <sz val="24.0"/>
      <color rgb="FF000000"/>
      <name val="Roboto"/>
    </font>
    <font>
      <sz val="13.0"/>
      <color rgb="FF666666"/>
      <name val="Roboto"/>
    </font>
    <font>
      <b/>
      <sz val="12.0"/>
      <color rgb="FF434343"/>
      <name val="Roboto"/>
    </font>
    <font>
      <sz val="13.0"/>
      <color rgb="FF434343"/>
      <name val="Roboto"/>
    </font>
    <font/>
    <font>
      <color rgb="FF999999"/>
      <name val="Roboto"/>
    </font>
    <font>
      <b/>
      <color rgb="FF666666"/>
      <name val="Roboto"/>
    </font>
    <font>
      <b/>
      <sz val="10.0"/>
      <color rgb="FF666666"/>
      <name val="Roboto"/>
    </font>
    <font>
      <b/>
      <sz val="12.0"/>
      <color rgb="FF000000"/>
      <name val="Roboto"/>
    </font>
    <font>
      <b/>
      <sz val="12.0"/>
      <color rgb="FF2A3990"/>
      <name val="Roboto"/>
    </font>
    <font>
      <name val="Arial"/>
    </font>
    <font>
      <sz val="14.0"/>
      <color rgb="FF666666"/>
      <name val="Roboto"/>
    </font>
    <font>
      <b/>
      <name val="Arial"/>
    </font>
    <font>
      <color rgb="FF000000"/>
      <name val="Roboto"/>
    </font>
    <font>
      <sz val="18.0"/>
      <color rgb="FF666666"/>
      <name val="Roboto"/>
    </font>
    <font>
      <sz val="18.0"/>
      <name val="Roboto"/>
    </font>
    <font>
      <b/>
      <sz val="20.0"/>
      <color rgb="FFE01B84"/>
      <name val="Roboto"/>
    </font>
    <font>
      <u/>
      <sz val="12.0"/>
      <name val="Roboto"/>
    </font>
    <font>
      <u/>
      <sz val="12.0"/>
      <name val="Roboto"/>
    </font>
    <font>
      <sz val="12.0"/>
      <name val="Roboto"/>
    </font>
    <font>
      <sz val="11.0"/>
      <color rgb="FF222222"/>
      <name val="Arial"/>
    </font>
    <font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3">
    <border/>
    <border>
      <bottom style="thin">
        <color rgb="FFB7B7B7"/>
      </bottom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2" numFmtId="14" xfId="0" applyAlignment="1" applyFont="1" applyNumberForma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Font="1"/>
    <xf borderId="0" fillId="0" fontId="8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1" numFmtId="14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6" numFmtId="164" xfId="0" applyAlignment="1" applyFont="1" applyNumberFormat="1">
      <alignment horizontal="left" readingOrder="0" vertical="top"/>
    </xf>
    <xf borderId="0" fillId="0" fontId="6" numFmtId="0" xfId="0" applyAlignment="1" applyFont="1">
      <alignment horizontal="left" readingOrder="0" vertical="top"/>
    </xf>
    <xf borderId="0" fillId="0" fontId="8" numFmtId="0" xfId="0" applyAlignment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11" numFmtId="0" xfId="0" applyBorder="1" applyFont="1"/>
    <xf borderId="1" fillId="0" fontId="1" numFmtId="0" xfId="0" applyBorder="1" applyFont="1"/>
    <xf borderId="0" fillId="0" fontId="12" numFmtId="0" xfId="0" applyAlignment="1" applyFont="1">
      <alignment vertical="center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1" fillId="0" fontId="6" numFmtId="0" xfId="0" applyAlignment="1" applyBorder="1" applyFont="1">
      <alignment vertical="bottom"/>
    </xf>
    <xf borderId="0" fillId="0" fontId="15" numFmtId="0" xfId="0" applyAlignment="1" applyFont="1">
      <alignment horizontal="left" readingOrder="0" vertical="center"/>
    </xf>
    <xf borderId="0" fillId="0" fontId="16" numFmtId="0" xfId="0" applyAlignment="1" applyFont="1">
      <alignment readingOrder="0" vertical="center"/>
    </xf>
    <xf borderId="0" fillId="0" fontId="15" numFmtId="0" xfId="0" applyAlignment="1" applyFont="1">
      <alignment horizontal="right" readingOrder="0" vertical="center"/>
    </xf>
    <xf borderId="0" fillId="2" fontId="1" numFmtId="0" xfId="0" applyAlignment="1" applyFill="1" applyFont="1">
      <alignment readingOrder="0"/>
    </xf>
    <xf borderId="0" fillId="2" fontId="17" numFmtId="0" xfId="0" applyAlignment="1" applyFont="1">
      <alignment shrinkToFit="0" wrapText="1"/>
    </xf>
    <xf borderId="0" fillId="2" fontId="17" numFmtId="0" xfId="0" applyFont="1"/>
    <xf borderId="0" fillId="2" fontId="13" numFmtId="3" xfId="0" applyAlignment="1" applyFont="1" applyNumberFormat="1">
      <alignment horizontal="right" readingOrder="0"/>
    </xf>
    <xf borderId="0" fillId="2" fontId="1" numFmtId="3" xfId="0" applyAlignment="1" applyFont="1" applyNumberFormat="1">
      <alignment horizontal="right" readingOrder="0" vertical="center"/>
    </xf>
    <xf borderId="0" fillId="2" fontId="1" numFmtId="165" xfId="0" applyAlignment="1" applyFont="1" applyNumberFormat="1">
      <alignment readingOrder="0" vertical="center"/>
    </xf>
    <xf borderId="0" fillId="2" fontId="6" numFmtId="166" xfId="0" applyAlignment="1" applyFont="1" applyNumberFormat="1">
      <alignment readingOrder="0" vertical="center"/>
    </xf>
    <xf borderId="0" fillId="0" fontId="18" numFmtId="0" xfId="0" applyAlignment="1" applyFont="1">
      <alignment vertical="center"/>
    </xf>
    <xf borderId="0" fillId="3" fontId="1" numFmtId="0" xfId="0" applyAlignment="1" applyFill="1" applyFont="1">
      <alignment readingOrder="0"/>
    </xf>
    <xf borderId="0" fillId="3" fontId="17" numFmtId="0" xfId="0" applyAlignment="1" applyFont="1">
      <alignment shrinkToFit="0" wrapText="1"/>
    </xf>
    <xf borderId="0" fillId="3" fontId="17" numFmtId="0" xfId="0" applyFont="1"/>
    <xf borderId="0" fillId="4" fontId="13" numFmtId="3" xfId="0" applyAlignment="1" applyFill="1" applyFont="1" applyNumberFormat="1">
      <alignment horizontal="right" readingOrder="0"/>
    </xf>
    <xf borderId="0" fillId="3" fontId="1" numFmtId="3" xfId="0" applyAlignment="1" applyFont="1" applyNumberFormat="1">
      <alignment horizontal="right" readingOrder="0" vertical="center"/>
    </xf>
    <xf borderId="0" fillId="3" fontId="1" numFmtId="165" xfId="0" applyAlignment="1" applyFont="1" applyNumberFormat="1">
      <alignment readingOrder="0" vertical="center"/>
    </xf>
    <xf borderId="0" fillId="3" fontId="6" numFmtId="166" xfId="0" applyAlignment="1" applyFont="1" applyNumberFormat="1">
      <alignment readingOrder="0" vertical="center"/>
    </xf>
    <xf borderId="0" fillId="3" fontId="13" numFmtId="3" xfId="0" applyAlignment="1" applyFont="1" applyNumberFormat="1">
      <alignment horizontal="right" readingOrder="0"/>
    </xf>
    <xf borderId="0" fillId="2" fontId="17" numFmtId="0" xfId="0" applyAlignment="1" applyFont="1">
      <alignment vertical="bottom"/>
    </xf>
    <xf borderId="0" fillId="3" fontId="17" numFmtId="0" xfId="0" applyAlignment="1" applyFont="1">
      <alignment vertical="bottom"/>
    </xf>
    <xf borderId="0" fillId="3" fontId="13" numFmtId="0" xfId="0" applyAlignment="1" applyFont="1">
      <alignment readingOrder="0"/>
    </xf>
    <xf borderId="0" fillId="3" fontId="19" numFmtId="0" xfId="0" applyAlignment="1" applyFont="1">
      <alignment vertical="bottom"/>
    </xf>
    <xf borderId="0" fillId="2" fontId="13" numFmtId="0" xfId="0" applyAlignment="1" applyFont="1">
      <alignment readingOrder="0"/>
    </xf>
    <xf borderId="0" fillId="2" fontId="19" numFmtId="0" xfId="0" applyAlignment="1" applyFont="1">
      <alignment vertical="bottom"/>
    </xf>
    <xf borderId="0" fillId="5" fontId="13" numFmtId="3" xfId="0" applyAlignment="1" applyFill="1" applyFont="1" applyNumberFormat="1">
      <alignment horizontal="right" readingOrder="0"/>
    </xf>
    <xf borderId="0" fillId="3" fontId="1" numFmtId="166" xfId="0" applyAlignment="1" applyFont="1" applyNumberFormat="1">
      <alignment readingOrder="0" vertical="center"/>
    </xf>
    <xf borderId="0" fillId="2" fontId="17" numFmtId="0" xfId="0" applyAlignment="1" applyFont="1">
      <alignment shrinkToFit="0" vertical="bottom" wrapText="1"/>
    </xf>
    <xf borderId="0" fillId="2" fontId="13" numFmtId="3" xfId="0" applyAlignment="1" applyFont="1" applyNumberFormat="1">
      <alignment horizontal="right"/>
    </xf>
    <xf borderId="0" fillId="2" fontId="1" numFmtId="0" xfId="0" applyAlignment="1" applyFont="1">
      <alignment horizontal="right" readingOrder="0" vertical="center"/>
    </xf>
    <xf borderId="0" fillId="2" fontId="1" numFmtId="166" xfId="0" applyAlignment="1" applyFont="1" applyNumberFormat="1">
      <alignment readingOrder="0" vertical="center"/>
    </xf>
    <xf borderId="0" fillId="3" fontId="17" numFmtId="0" xfId="0" applyAlignment="1" applyFont="1">
      <alignment readingOrder="0" shrinkToFit="0" vertical="bottom" wrapText="1"/>
    </xf>
    <xf borderId="0" fillId="3" fontId="13" numFmtId="3" xfId="0" applyAlignment="1" applyFont="1" applyNumberFormat="1">
      <alignment horizontal="right"/>
    </xf>
    <xf borderId="0" fillId="3" fontId="1" numFmtId="0" xfId="0" applyAlignment="1" applyFont="1">
      <alignment horizontal="right" readingOrder="0" vertical="center"/>
    </xf>
    <xf borderId="0" fillId="3" fontId="13" numFmtId="0" xfId="0" applyAlignment="1" applyFont="1">
      <alignment readingOrder="0" vertical="center"/>
    </xf>
    <xf borderId="0" fillId="2" fontId="1" numFmtId="0" xfId="0" applyAlignment="1" applyFont="1">
      <alignment horizontal="left" readingOrder="0" vertical="center"/>
    </xf>
    <xf borderId="0" fillId="2" fontId="13" numFmtId="0" xfId="0" applyAlignment="1" applyFont="1">
      <alignment readingOrder="0" vertical="center"/>
    </xf>
    <xf borderId="0" fillId="3" fontId="1" numFmtId="0" xfId="0" applyAlignment="1" applyFont="1">
      <alignment horizontal="left" readingOrder="0" vertical="center"/>
    </xf>
    <xf borderId="0" fillId="3" fontId="13" numFmtId="0" xfId="0" applyAlignment="1" applyFont="1">
      <alignment horizontal="right" readingOrder="0" vertical="center"/>
    </xf>
    <xf borderId="0" fillId="2" fontId="13" numFmtId="0" xfId="0" applyAlignment="1" applyFont="1">
      <alignment horizontal="right" readingOrder="0" vertical="center"/>
    </xf>
    <xf borderId="0" fillId="0" fontId="1" numFmtId="0" xfId="0" applyAlignment="1" applyFont="1">
      <alignment vertical="bottom"/>
    </xf>
    <xf borderId="2" fillId="2" fontId="1" numFmtId="0" xfId="0" applyAlignment="1" applyBorder="1" applyFont="1">
      <alignment horizontal="left" readingOrder="0" vertical="center"/>
    </xf>
    <xf borderId="2" fillId="2" fontId="13" numFmtId="3" xfId="0" applyAlignment="1" applyBorder="1" applyFont="1" applyNumberFormat="1">
      <alignment horizontal="right" readingOrder="0" vertical="center"/>
    </xf>
    <xf borderId="2" fillId="2" fontId="13" numFmtId="0" xfId="0" applyAlignment="1" applyBorder="1" applyFont="1">
      <alignment horizontal="right" readingOrder="0" vertical="center"/>
    </xf>
    <xf borderId="2" fillId="2" fontId="11" numFmtId="0" xfId="0" applyBorder="1" applyFont="1"/>
    <xf borderId="2" fillId="2" fontId="14" numFmtId="166" xfId="0" applyAlignment="1" applyBorder="1" applyFont="1" applyNumberFormat="1">
      <alignment readingOrder="0" vertical="center"/>
    </xf>
    <xf borderId="0" fillId="3" fontId="1" numFmtId="0" xfId="0" applyAlignment="1" applyFont="1">
      <alignment horizontal="left" readingOrder="0" vertical="center"/>
    </xf>
    <xf borderId="0" fillId="3" fontId="14" numFmtId="166" xfId="0" applyAlignment="1" applyFont="1" applyNumberFormat="1">
      <alignment readingOrder="0" vertical="center"/>
    </xf>
    <xf borderId="0" fillId="0" fontId="2" numFmtId="0" xfId="0" applyAlignment="1" applyFont="1">
      <alignment vertical="bottom"/>
    </xf>
    <xf borderId="0" fillId="0" fontId="20" numFmtId="0" xfId="0" applyAlignment="1" applyFont="1">
      <alignment horizontal="right" readingOrder="0" vertical="bottom"/>
    </xf>
    <xf borderId="0" fillId="0" fontId="13" numFmtId="166" xfId="0" applyAlignment="1" applyFont="1" applyNumberFormat="1">
      <alignment readingOrder="0" vertical="bottom"/>
    </xf>
    <xf borderId="0" fillId="0" fontId="13" numFmtId="166" xfId="0" applyAlignment="1" applyFont="1" applyNumberFormat="1">
      <alignment readingOrder="0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2" numFmtId="0" xfId="0" applyAlignment="1" applyFont="1">
      <alignment horizontal="right" vertical="bottom"/>
    </xf>
    <xf borderId="0" fillId="0" fontId="23" numFmtId="166" xfId="0" applyAlignment="1" applyFont="1" applyNumberFormat="1">
      <alignment horizontal="right" vertical="bottom"/>
    </xf>
    <xf borderId="0" fillId="0" fontId="24" numFmtId="0" xfId="0" applyAlignment="1" applyFont="1">
      <alignment readingOrder="0" vertical="bottom"/>
    </xf>
    <xf borderId="0" fillId="0" fontId="25" numFmtId="0" xfId="0" applyAlignment="1" applyFont="1">
      <alignment horizontal="right" vertical="bottom"/>
    </xf>
    <xf borderId="0" fillId="0" fontId="26" numFmtId="0" xfId="0" applyAlignment="1" applyFont="1">
      <alignment readingOrder="0" vertical="bottom"/>
    </xf>
    <xf borderId="0" fillId="3" fontId="27" numFmtId="0" xfId="0" applyAlignment="1" applyFont="1">
      <alignment readingOrder="0"/>
    </xf>
    <xf borderId="0" fillId="0" fontId="1" numFmtId="0" xfId="0" applyAlignment="1" applyFont="1">
      <alignment horizontal="right" vertical="center"/>
    </xf>
    <xf borderId="0" fillId="3" fontId="28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3</xdr:row>
      <xdr:rowOff>47625</xdr:rowOff>
    </xdr:from>
    <xdr:ext cx="2933700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34.25"/>
    <col customWidth="1" min="3" max="3" width="29.5"/>
    <col customWidth="1" min="4" max="4" width="6.75"/>
    <col customWidth="1" min="5" max="5" width="7.13"/>
    <col customWidth="1" min="6" max="6" width="6.13"/>
    <col customWidth="1" min="7" max="7" width="11.63"/>
    <col customWidth="1" min="8" max="8" width="11.75"/>
    <col customWidth="1" min="9" max="9" width="6.13"/>
  </cols>
  <sheetData>
    <row r="1" ht="18.0" customHeight="1">
      <c r="A1" s="1"/>
      <c r="B1" s="2"/>
      <c r="C1" s="2"/>
      <c r="D1" s="3"/>
      <c r="E1" s="3"/>
      <c r="F1" s="4"/>
      <c r="G1" s="5"/>
      <c r="H1" s="5"/>
      <c r="I1" s="1"/>
    </row>
    <row r="2" ht="18.0" customHeight="1">
      <c r="A2" s="1"/>
      <c r="B2" s="2"/>
      <c r="C2" s="2"/>
      <c r="D2" s="3"/>
      <c r="E2" s="3"/>
      <c r="F2" s="4"/>
      <c r="G2" s="5"/>
      <c r="H2" s="5"/>
      <c r="I2" s="1"/>
    </row>
    <row r="3" ht="18.0" customHeight="1">
      <c r="A3" s="1"/>
      <c r="B3" s="2"/>
      <c r="C3" s="2"/>
      <c r="D3" s="3"/>
      <c r="E3" s="3"/>
      <c r="F3" s="4"/>
      <c r="G3" s="5"/>
      <c r="H3" s="5"/>
      <c r="I3" s="1"/>
    </row>
    <row r="4" ht="19.5" customHeight="1">
      <c r="A4" s="1"/>
      <c r="B4" s="6"/>
      <c r="F4" s="7"/>
      <c r="G4" s="8"/>
      <c r="H4" s="8"/>
      <c r="I4" s="1"/>
    </row>
    <row r="5">
      <c r="A5" s="9"/>
      <c r="B5" s="10"/>
      <c r="E5" s="11"/>
      <c r="F5" s="12"/>
      <c r="G5" s="13"/>
      <c r="H5" s="13"/>
      <c r="I5" s="1"/>
    </row>
    <row r="6">
      <c r="A6" s="9"/>
      <c r="B6" s="14"/>
      <c r="E6" s="15"/>
      <c r="F6" s="12"/>
      <c r="G6" s="13"/>
      <c r="H6" s="13"/>
      <c r="I6" s="1"/>
    </row>
    <row r="7">
      <c r="A7" s="9"/>
      <c r="B7" s="16"/>
      <c r="F7" s="17"/>
      <c r="G7" s="9"/>
      <c r="H7" s="9"/>
      <c r="I7" s="9"/>
    </row>
    <row r="8" ht="18.0" customHeight="1">
      <c r="A8" s="18"/>
      <c r="B8" s="9"/>
      <c r="C8" s="9"/>
      <c r="D8" s="13"/>
      <c r="E8" s="13"/>
      <c r="F8" s="13"/>
      <c r="G8" s="13"/>
      <c r="H8" s="13"/>
      <c r="I8" s="18"/>
    </row>
    <row r="9" ht="19.5" customHeight="1">
      <c r="A9" s="18"/>
      <c r="B9" s="19" t="s">
        <v>0</v>
      </c>
      <c r="I9" s="18"/>
    </row>
    <row r="10">
      <c r="A10" s="9"/>
      <c r="B10" s="20"/>
      <c r="D10" s="21"/>
      <c r="F10" s="21"/>
      <c r="H10" s="21"/>
      <c r="I10" s="9"/>
    </row>
    <row r="11" ht="18.0" customHeight="1">
      <c r="A11" s="22"/>
      <c r="B11" s="23" t="s">
        <v>1</v>
      </c>
      <c r="D11" s="23"/>
      <c r="F11" s="23" t="s">
        <v>2</v>
      </c>
      <c r="H11" s="24"/>
      <c r="I11" s="22"/>
    </row>
    <row r="12" ht="18.0" customHeight="1">
      <c r="A12" s="9"/>
      <c r="B12" s="25">
        <v>46140.0</v>
      </c>
      <c r="D12" s="26"/>
      <c r="F12" s="27">
        <v>46140.0</v>
      </c>
      <c r="H12" s="28"/>
      <c r="I12" s="18"/>
    </row>
    <row r="13">
      <c r="A13" s="22"/>
      <c r="B13" s="29"/>
      <c r="D13" s="29"/>
      <c r="F13" s="29"/>
      <c r="I13" s="22"/>
    </row>
    <row r="14" ht="18.0" customHeight="1">
      <c r="A14" s="22"/>
      <c r="B14" s="23" t="s">
        <v>3</v>
      </c>
      <c r="D14" s="23" t="s">
        <v>4</v>
      </c>
      <c r="F14" s="23" t="s">
        <v>5</v>
      </c>
      <c r="I14" s="29"/>
    </row>
    <row r="15" ht="18.0" customHeight="1">
      <c r="A15" s="17"/>
      <c r="B15" s="30" t="s">
        <v>6</v>
      </c>
      <c r="D15" s="31" t="s">
        <v>6</v>
      </c>
      <c r="F15" s="31" t="s">
        <v>7</v>
      </c>
      <c r="I15" s="17"/>
    </row>
    <row r="16">
      <c r="A16" s="9"/>
      <c r="B16" s="32"/>
      <c r="C16" s="33"/>
      <c r="D16" s="32"/>
      <c r="E16" s="33"/>
      <c r="F16" s="34"/>
      <c r="G16" s="33"/>
      <c r="H16" s="33"/>
      <c r="I16" s="9"/>
    </row>
    <row r="17">
      <c r="A17" s="9"/>
      <c r="B17" s="35"/>
      <c r="D17" s="35"/>
      <c r="E17" s="35"/>
      <c r="F17" s="21"/>
      <c r="I17" s="9"/>
    </row>
    <row r="18" ht="18.0" customHeight="1">
      <c r="A18" s="9"/>
      <c r="B18" s="23" t="s">
        <v>8</v>
      </c>
      <c r="D18" s="23"/>
      <c r="E18" s="23"/>
      <c r="F18" s="23" t="s">
        <v>9</v>
      </c>
      <c r="I18" s="9"/>
    </row>
    <row r="19" ht="18.0" customHeight="1">
      <c r="A19" s="17"/>
      <c r="B19" s="36" t="s">
        <v>10</v>
      </c>
      <c r="D19" s="37"/>
      <c r="E19" s="37"/>
      <c r="F19" s="37" t="s">
        <v>11</v>
      </c>
      <c r="I19" s="17"/>
    </row>
    <row r="20">
      <c r="A20" s="17"/>
      <c r="B20" s="38" t="s">
        <v>12</v>
      </c>
      <c r="D20" s="31"/>
      <c r="E20" s="31"/>
      <c r="F20" s="31" t="s">
        <v>13</v>
      </c>
      <c r="I20" s="17"/>
    </row>
    <row r="21">
      <c r="A21" s="17"/>
      <c r="B21" s="38" t="s">
        <v>14</v>
      </c>
      <c r="D21" s="31"/>
      <c r="E21" s="31"/>
      <c r="F21" s="31" t="s">
        <v>15</v>
      </c>
      <c r="I21" s="17"/>
    </row>
    <row r="22">
      <c r="A22" s="17"/>
      <c r="B22" s="38" t="s">
        <v>16</v>
      </c>
      <c r="D22" s="31"/>
      <c r="E22" s="31"/>
      <c r="F22" s="31" t="s">
        <v>17</v>
      </c>
      <c r="I22" s="17"/>
    </row>
    <row r="23">
      <c r="A23" s="17"/>
      <c r="B23" s="31" t="s">
        <v>18</v>
      </c>
      <c r="F23" s="31" t="s">
        <v>19</v>
      </c>
      <c r="I23" s="17"/>
    </row>
    <row r="24">
      <c r="A24" s="17"/>
      <c r="B24" s="31" t="s">
        <v>20</v>
      </c>
      <c r="F24" s="31" t="s">
        <v>21</v>
      </c>
      <c r="I24" s="17"/>
    </row>
    <row r="25">
      <c r="A25" s="12"/>
      <c r="B25" s="39"/>
      <c r="C25" s="33"/>
      <c r="D25" s="33"/>
      <c r="E25" s="33"/>
      <c r="F25" s="39"/>
      <c r="G25" s="33"/>
      <c r="H25" s="33"/>
      <c r="I25" s="12"/>
    </row>
    <row r="26">
      <c r="A26" s="9"/>
      <c r="B26" s="13"/>
      <c r="C26" s="13"/>
      <c r="D26" s="13"/>
      <c r="E26" s="13"/>
      <c r="F26" s="13"/>
      <c r="G26" s="13"/>
      <c r="H26" s="13"/>
      <c r="I26" s="9"/>
    </row>
    <row r="27" ht="30.0" customHeight="1">
      <c r="A27" s="9"/>
      <c r="B27" s="40" t="s">
        <v>22</v>
      </c>
      <c r="C27" s="41" t="s">
        <v>23</v>
      </c>
      <c r="D27" s="41"/>
      <c r="E27" s="41" t="s">
        <v>24</v>
      </c>
      <c r="F27" s="42"/>
      <c r="G27" s="42" t="s">
        <v>25</v>
      </c>
      <c r="H27" s="42" t="s">
        <v>26</v>
      </c>
      <c r="I27" s="9"/>
    </row>
    <row r="28" ht="19.5" customHeight="1">
      <c r="A28" s="17"/>
      <c r="B28" s="43" t="s">
        <v>27</v>
      </c>
      <c r="C28" s="44" t="s">
        <v>28</v>
      </c>
      <c r="D28" s="45"/>
      <c r="E28" s="46">
        <v>1000.0</v>
      </c>
      <c r="F28" s="47"/>
      <c r="G28" s="48">
        <v>0.506</v>
      </c>
      <c r="H28" s="49">
        <f t="shared" ref="H28:H64" si="1">G28*E28</f>
        <v>506</v>
      </c>
      <c r="I28" s="17"/>
    </row>
    <row r="29" ht="19.5" customHeight="1">
      <c r="A29" s="50"/>
      <c r="B29" s="51" t="s">
        <v>27</v>
      </c>
      <c r="C29" s="52" t="s">
        <v>29</v>
      </c>
      <c r="D29" s="53"/>
      <c r="E29" s="54">
        <v>2000.0</v>
      </c>
      <c r="F29" s="55"/>
      <c r="G29" s="56">
        <v>0.506</v>
      </c>
      <c r="H29" s="57">
        <f t="shared" si="1"/>
        <v>1012</v>
      </c>
      <c r="I29" s="50"/>
    </row>
    <row r="30" ht="19.5" customHeight="1">
      <c r="A30" s="50"/>
      <c r="B30" s="43" t="s">
        <v>27</v>
      </c>
      <c r="C30" s="44" t="s">
        <v>30</v>
      </c>
      <c r="D30" s="45"/>
      <c r="E30" s="54">
        <v>2000.0</v>
      </c>
      <c r="F30" s="47"/>
      <c r="G30" s="48">
        <v>0.506</v>
      </c>
      <c r="H30" s="49">
        <f t="shared" si="1"/>
        <v>1012</v>
      </c>
      <c r="I30" s="50"/>
    </row>
    <row r="31" ht="19.5" customHeight="1">
      <c r="A31" s="50"/>
      <c r="B31" s="51" t="s">
        <v>27</v>
      </c>
      <c r="C31" s="52" t="s">
        <v>31</v>
      </c>
      <c r="D31" s="53"/>
      <c r="E31" s="58">
        <v>1000.0</v>
      </c>
      <c r="F31" s="55"/>
      <c r="G31" s="56">
        <v>0.506</v>
      </c>
      <c r="H31" s="57">
        <f t="shared" si="1"/>
        <v>506</v>
      </c>
      <c r="I31" s="50"/>
    </row>
    <row r="32" ht="19.5" customHeight="1">
      <c r="A32" s="50"/>
      <c r="B32" s="43" t="s">
        <v>27</v>
      </c>
      <c r="C32" s="44" t="s">
        <v>32</v>
      </c>
      <c r="D32" s="45"/>
      <c r="E32" s="46">
        <v>1000.0</v>
      </c>
      <c r="F32" s="47"/>
      <c r="G32" s="48">
        <v>0.506</v>
      </c>
      <c r="H32" s="49">
        <f t="shared" si="1"/>
        <v>506</v>
      </c>
      <c r="I32" s="50"/>
    </row>
    <row r="33" ht="19.5" customHeight="1">
      <c r="A33" s="50"/>
      <c r="B33" s="51" t="s">
        <v>27</v>
      </c>
      <c r="C33" s="52" t="s">
        <v>33</v>
      </c>
      <c r="D33" s="53"/>
      <c r="E33" s="58">
        <v>1000.0</v>
      </c>
      <c r="F33" s="55"/>
      <c r="G33" s="56">
        <v>0.506</v>
      </c>
      <c r="H33" s="57">
        <f t="shared" si="1"/>
        <v>506</v>
      </c>
      <c r="I33" s="50"/>
    </row>
    <row r="34" ht="19.5" customHeight="1">
      <c r="A34" s="50"/>
      <c r="B34" s="43" t="s">
        <v>27</v>
      </c>
      <c r="C34" s="44" t="s">
        <v>34</v>
      </c>
      <c r="D34" s="45"/>
      <c r="E34" s="46">
        <v>1000.0</v>
      </c>
      <c r="F34" s="47"/>
      <c r="G34" s="48">
        <v>0.506</v>
      </c>
      <c r="H34" s="49">
        <f t="shared" si="1"/>
        <v>506</v>
      </c>
      <c r="I34" s="50"/>
    </row>
    <row r="35" ht="19.5" customHeight="1">
      <c r="A35" s="50"/>
      <c r="B35" s="51" t="s">
        <v>27</v>
      </c>
      <c r="C35" s="52" t="s">
        <v>35</v>
      </c>
      <c r="D35" s="53"/>
      <c r="E35" s="54">
        <v>2000.0</v>
      </c>
      <c r="F35" s="55"/>
      <c r="G35" s="56">
        <v>0.506</v>
      </c>
      <c r="H35" s="57">
        <f t="shared" si="1"/>
        <v>1012</v>
      </c>
      <c r="I35" s="50"/>
    </row>
    <row r="36" ht="19.5" customHeight="1">
      <c r="A36" s="50"/>
      <c r="B36" s="43" t="s">
        <v>27</v>
      </c>
      <c r="C36" s="44" t="s">
        <v>36</v>
      </c>
      <c r="D36" s="45"/>
      <c r="E36" s="46">
        <v>1000.0</v>
      </c>
      <c r="F36" s="47"/>
      <c r="G36" s="48">
        <v>0.506</v>
      </c>
      <c r="H36" s="49">
        <f t="shared" si="1"/>
        <v>506</v>
      </c>
      <c r="I36" s="50"/>
    </row>
    <row r="37" ht="19.5" customHeight="1">
      <c r="A37" s="50"/>
      <c r="B37" s="51" t="s">
        <v>27</v>
      </c>
      <c r="C37" s="52" t="s">
        <v>37</v>
      </c>
      <c r="D37" s="53"/>
      <c r="E37" s="58">
        <v>1000.0</v>
      </c>
      <c r="F37" s="55"/>
      <c r="G37" s="56">
        <v>0.506</v>
      </c>
      <c r="H37" s="57">
        <f t="shared" si="1"/>
        <v>506</v>
      </c>
      <c r="I37" s="50"/>
    </row>
    <row r="38" ht="19.5" customHeight="1">
      <c r="A38" s="50"/>
      <c r="B38" s="43" t="s">
        <v>27</v>
      </c>
      <c r="C38" s="44" t="s">
        <v>38</v>
      </c>
      <c r="D38" s="45"/>
      <c r="E38" s="46">
        <v>1000.0</v>
      </c>
      <c r="F38" s="47"/>
      <c r="G38" s="48">
        <v>0.506</v>
      </c>
      <c r="H38" s="49">
        <f t="shared" si="1"/>
        <v>506</v>
      </c>
      <c r="I38" s="50"/>
    </row>
    <row r="39" ht="19.5" customHeight="1">
      <c r="A39" s="50"/>
      <c r="B39" s="51" t="s">
        <v>27</v>
      </c>
      <c r="C39" s="52" t="s">
        <v>39</v>
      </c>
      <c r="D39" s="53"/>
      <c r="E39" s="58">
        <v>1000.0</v>
      </c>
      <c r="F39" s="55"/>
      <c r="G39" s="56">
        <v>0.506</v>
      </c>
      <c r="H39" s="57">
        <f t="shared" si="1"/>
        <v>506</v>
      </c>
      <c r="I39" s="50"/>
    </row>
    <row r="40" ht="19.5" customHeight="1">
      <c r="A40" s="50"/>
      <c r="B40" s="43" t="s">
        <v>27</v>
      </c>
      <c r="C40" s="44" t="s">
        <v>40</v>
      </c>
      <c r="D40" s="45"/>
      <c r="E40" s="54">
        <v>2000.0</v>
      </c>
      <c r="F40" s="47"/>
      <c r="G40" s="48">
        <v>0.506</v>
      </c>
      <c r="H40" s="49">
        <f t="shared" si="1"/>
        <v>1012</v>
      </c>
      <c r="I40" s="50"/>
    </row>
    <row r="41" ht="19.5" customHeight="1">
      <c r="A41" s="50"/>
      <c r="B41" s="51" t="s">
        <v>27</v>
      </c>
      <c r="C41" s="52" t="s">
        <v>41</v>
      </c>
      <c r="D41" s="53"/>
      <c r="E41" s="58">
        <v>1000.0</v>
      </c>
      <c r="F41" s="55"/>
      <c r="G41" s="56">
        <v>0.506</v>
      </c>
      <c r="H41" s="57">
        <f t="shared" si="1"/>
        <v>506</v>
      </c>
      <c r="I41" s="50"/>
    </row>
    <row r="42" ht="19.5" customHeight="1">
      <c r="A42" s="50"/>
      <c r="B42" s="43" t="s">
        <v>27</v>
      </c>
      <c r="C42" s="44" t="s">
        <v>42</v>
      </c>
      <c r="D42" s="45"/>
      <c r="E42" s="46">
        <v>1000.0</v>
      </c>
      <c r="F42" s="47"/>
      <c r="G42" s="48">
        <v>0.506</v>
      </c>
      <c r="H42" s="49">
        <f t="shared" si="1"/>
        <v>506</v>
      </c>
      <c r="I42" s="50"/>
    </row>
    <row r="43" ht="19.5" customHeight="1">
      <c r="A43" s="50"/>
      <c r="B43" s="51" t="s">
        <v>27</v>
      </c>
      <c r="C43" s="52" t="s">
        <v>43</v>
      </c>
      <c r="D43" s="53"/>
      <c r="E43" s="58">
        <v>1000.0</v>
      </c>
      <c r="F43" s="55"/>
      <c r="G43" s="56">
        <v>0.506</v>
      </c>
      <c r="H43" s="57">
        <f t="shared" si="1"/>
        <v>506</v>
      </c>
      <c r="I43" s="50"/>
    </row>
    <row r="44" ht="19.5" customHeight="1">
      <c r="A44" s="50"/>
      <c r="B44" s="43" t="s">
        <v>27</v>
      </c>
      <c r="C44" s="44" t="s">
        <v>44</v>
      </c>
      <c r="D44" s="45"/>
      <c r="E44" s="46">
        <v>1000.0</v>
      </c>
      <c r="F44" s="47"/>
      <c r="G44" s="48">
        <v>0.506</v>
      </c>
      <c r="H44" s="49">
        <f t="shared" si="1"/>
        <v>506</v>
      </c>
      <c r="I44" s="50"/>
    </row>
    <row r="45" ht="19.5" customHeight="1">
      <c r="A45" s="50"/>
      <c r="B45" s="51" t="s">
        <v>27</v>
      </c>
      <c r="C45" s="52" t="s">
        <v>45</v>
      </c>
      <c r="D45" s="53"/>
      <c r="E45" s="58">
        <v>1000.0</v>
      </c>
      <c r="F45" s="55"/>
      <c r="G45" s="56">
        <v>0.506</v>
      </c>
      <c r="H45" s="57">
        <f t="shared" si="1"/>
        <v>506</v>
      </c>
      <c r="I45" s="50"/>
    </row>
    <row r="46" ht="19.5" customHeight="1">
      <c r="A46" s="50"/>
      <c r="B46" s="43" t="s">
        <v>27</v>
      </c>
      <c r="C46" s="44" t="s">
        <v>46</v>
      </c>
      <c r="D46" s="45"/>
      <c r="E46" s="46">
        <v>1000.0</v>
      </c>
      <c r="F46" s="47"/>
      <c r="G46" s="48">
        <v>0.506</v>
      </c>
      <c r="H46" s="49">
        <f t="shared" si="1"/>
        <v>506</v>
      </c>
      <c r="I46" s="50"/>
    </row>
    <row r="47" ht="19.5" customHeight="1">
      <c r="A47" s="50"/>
      <c r="B47" s="51" t="s">
        <v>27</v>
      </c>
      <c r="C47" s="52" t="s">
        <v>47</v>
      </c>
      <c r="D47" s="53"/>
      <c r="E47" s="58">
        <v>1000.0</v>
      </c>
      <c r="F47" s="55"/>
      <c r="G47" s="56">
        <v>0.506</v>
      </c>
      <c r="H47" s="57">
        <f t="shared" si="1"/>
        <v>506</v>
      </c>
      <c r="I47" s="50"/>
    </row>
    <row r="48" ht="19.5" customHeight="1">
      <c r="A48" s="50"/>
      <c r="B48" s="43" t="s">
        <v>27</v>
      </c>
      <c r="C48" s="59" t="s">
        <v>48</v>
      </c>
      <c r="D48" s="45"/>
      <c r="E48" s="46">
        <v>5000.0</v>
      </c>
      <c r="F48" s="47"/>
      <c r="G48" s="48">
        <v>0.506</v>
      </c>
      <c r="H48" s="49">
        <f t="shared" si="1"/>
        <v>2530</v>
      </c>
      <c r="I48" s="50"/>
    </row>
    <row r="49" ht="19.5" customHeight="1">
      <c r="A49" s="50"/>
      <c r="B49" s="51" t="s">
        <v>27</v>
      </c>
      <c r="C49" s="60" t="s">
        <v>49</v>
      </c>
      <c r="D49" s="53"/>
      <c r="E49" s="58">
        <v>5000.0</v>
      </c>
      <c r="F49" s="55"/>
      <c r="G49" s="56">
        <v>0.506</v>
      </c>
      <c r="H49" s="57">
        <f t="shared" si="1"/>
        <v>2530</v>
      </c>
      <c r="I49" s="50"/>
    </row>
    <row r="50" ht="19.5" customHeight="1">
      <c r="A50" s="50"/>
      <c r="B50" s="43" t="s">
        <v>27</v>
      </c>
      <c r="C50" s="59" t="s">
        <v>50</v>
      </c>
      <c r="D50" s="45"/>
      <c r="E50" s="46">
        <v>5000.0</v>
      </c>
      <c r="F50" s="47"/>
      <c r="G50" s="48">
        <v>0.506</v>
      </c>
      <c r="H50" s="49">
        <f t="shared" si="1"/>
        <v>2530</v>
      </c>
      <c r="I50" s="50"/>
    </row>
    <row r="51" ht="19.5" customHeight="1">
      <c r="A51" s="50"/>
      <c r="B51" s="51" t="s">
        <v>27</v>
      </c>
      <c r="C51" s="60" t="s">
        <v>51</v>
      </c>
      <c r="D51" s="53"/>
      <c r="E51" s="58">
        <v>5000.0</v>
      </c>
      <c r="F51" s="55"/>
      <c r="G51" s="56">
        <v>0.506</v>
      </c>
      <c r="H51" s="57">
        <f t="shared" si="1"/>
        <v>2530</v>
      </c>
      <c r="I51" s="50"/>
    </row>
    <row r="52" ht="19.5" customHeight="1">
      <c r="A52" s="50"/>
      <c r="B52" s="43" t="s">
        <v>27</v>
      </c>
      <c r="C52" s="59" t="s">
        <v>52</v>
      </c>
      <c r="D52" s="45"/>
      <c r="E52" s="46">
        <v>5000.0</v>
      </c>
      <c r="F52" s="47"/>
      <c r="G52" s="48">
        <v>0.506</v>
      </c>
      <c r="H52" s="49">
        <f t="shared" si="1"/>
        <v>2530</v>
      </c>
      <c r="I52" s="50"/>
    </row>
    <row r="53" ht="19.5" customHeight="1">
      <c r="A53" s="50"/>
      <c r="B53" s="51" t="s">
        <v>27</v>
      </c>
      <c r="C53" s="60" t="s">
        <v>53</v>
      </c>
      <c r="D53" s="53"/>
      <c r="E53" s="58">
        <v>5000.0</v>
      </c>
      <c r="F53" s="55"/>
      <c r="G53" s="56">
        <v>0.506</v>
      </c>
      <c r="H53" s="57">
        <f t="shared" si="1"/>
        <v>2530</v>
      </c>
      <c r="I53" s="50"/>
    </row>
    <row r="54" ht="19.5" customHeight="1">
      <c r="A54" s="50"/>
      <c r="B54" s="43" t="s">
        <v>27</v>
      </c>
      <c r="C54" s="59" t="s">
        <v>54</v>
      </c>
      <c r="D54" s="45"/>
      <c r="E54" s="46">
        <v>5000.0</v>
      </c>
      <c r="F54" s="47"/>
      <c r="G54" s="48">
        <v>0.506</v>
      </c>
      <c r="H54" s="49">
        <f t="shared" si="1"/>
        <v>2530</v>
      </c>
      <c r="I54" s="50"/>
    </row>
    <row r="55" ht="19.5" customHeight="1">
      <c r="A55" s="50"/>
      <c r="B55" s="51" t="s">
        <v>27</v>
      </c>
      <c r="C55" s="60" t="s">
        <v>55</v>
      </c>
      <c r="D55" s="53"/>
      <c r="E55" s="58">
        <v>5000.0</v>
      </c>
      <c r="F55" s="55"/>
      <c r="G55" s="56">
        <v>0.506</v>
      </c>
      <c r="H55" s="57">
        <f t="shared" si="1"/>
        <v>2530</v>
      </c>
      <c r="I55" s="50"/>
    </row>
    <row r="56" ht="19.5" customHeight="1">
      <c r="A56" s="50"/>
      <c r="B56" s="43" t="s">
        <v>27</v>
      </c>
      <c r="C56" s="59" t="s">
        <v>56</v>
      </c>
      <c r="D56" s="45"/>
      <c r="E56" s="46">
        <v>5000.0</v>
      </c>
      <c r="F56" s="47"/>
      <c r="G56" s="48">
        <v>0.506</v>
      </c>
      <c r="H56" s="49">
        <f t="shared" si="1"/>
        <v>2530</v>
      </c>
      <c r="I56" s="50"/>
    </row>
    <row r="57" ht="19.5" customHeight="1">
      <c r="A57" s="50"/>
      <c r="B57" s="61" t="s">
        <v>57</v>
      </c>
      <c r="C57" s="62" t="s">
        <v>58</v>
      </c>
      <c r="D57" s="53"/>
      <c r="E57" s="58">
        <v>5000.0</v>
      </c>
      <c r="F57" s="55"/>
      <c r="G57" s="56">
        <v>0.506</v>
      </c>
      <c r="H57" s="57">
        <f t="shared" si="1"/>
        <v>2530</v>
      </c>
      <c r="I57" s="50"/>
    </row>
    <row r="58" ht="19.5" customHeight="1">
      <c r="A58" s="50"/>
      <c r="B58" s="63" t="s">
        <v>57</v>
      </c>
      <c r="C58" s="64" t="s">
        <v>52</v>
      </c>
      <c r="D58" s="45"/>
      <c r="E58" s="46">
        <v>5000.0</v>
      </c>
      <c r="F58" s="47"/>
      <c r="G58" s="48">
        <v>0.506</v>
      </c>
      <c r="H58" s="49">
        <f t="shared" si="1"/>
        <v>2530</v>
      </c>
      <c r="I58" s="50"/>
    </row>
    <row r="59" ht="19.5" customHeight="1">
      <c r="A59" s="50"/>
      <c r="B59" s="61" t="s">
        <v>57</v>
      </c>
      <c r="C59" s="62" t="s">
        <v>59</v>
      </c>
      <c r="D59" s="53"/>
      <c r="E59" s="58">
        <v>5000.0</v>
      </c>
      <c r="F59" s="55"/>
      <c r="G59" s="56">
        <v>0.506</v>
      </c>
      <c r="H59" s="57">
        <f t="shared" si="1"/>
        <v>2530</v>
      </c>
      <c r="I59" s="50"/>
    </row>
    <row r="60" ht="19.5" customHeight="1">
      <c r="A60" s="50"/>
      <c r="B60" s="63" t="s">
        <v>57</v>
      </c>
      <c r="C60" s="64" t="s">
        <v>60</v>
      </c>
      <c r="D60" s="45"/>
      <c r="E60" s="46">
        <v>5000.0</v>
      </c>
      <c r="F60" s="47"/>
      <c r="G60" s="48">
        <v>0.506</v>
      </c>
      <c r="H60" s="49">
        <f t="shared" si="1"/>
        <v>2530</v>
      </c>
      <c r="I60" s="50"/>
    </row>
    <row r="61" ht="19.5" customHeight="1">
      <c r="A61" s="50"/>
      <c r="B61" s="51" t="s">
        <v>61</v>
      </c>
      <c r="C61" s="52" t="s">
        <v>62</v>
      </c>
      <c r="D61" s="53"/>
      <c r="E61" s="65">
        <v>1000.0</v>
      </c>
      <c r="F61" s="55"/>
      <c r="G61" s="56">
        <v>0.506</v>
      </c>
      <c r="H61" s="57">
        <f t="shared" si="1"/>
        <v>506</v>
      </c>
      <c r="I61" s="50"/>
    </row>
    <row r="62" ht="19.5" customHeight="1">
      <c r="A62" s="50"/>
      <c r="B62" s="43" t="s">
        <v>61</v>
      </c>
      <c r="C62" s="44" t="s">
        <v>63</v>
      </c>
      <c r="D62" s="45"/>
      <c r="E62" s="65">
        <v>1000.0</v>
      </c>
      <c r="F62" s="47"/>
      <c r="G62" s="48">
        <v>0.506</v>
      </c>
      <c r="H62" s="49">
        <f t="shared" si="1"/>
        <v>506</v>
      </c>
      <c r="I62" s="50"/>
    </row>
    <row r="63" ht="19.5" customHeight="1">
      <c r="A63" s="50"/>
      <c r="B63" s="51" t="s">
        <v>61</v>
      </c>
      <c r="C63" s="52" t="s">
        <v>56</v>
      </c>
      <c r="D63" s="53"/>
      <c r="E63" s="65">
        <v>1000.0</v>
      </c>
      <c r="F63" s="55"/>
      <c r="G63" s="56">
        <v>0.506</v>
      </c>
      <c r="H63" s="57">
        <f t="shared" si="1"/>
        <v>506</v>
      </c>
      <c r="I63" s="50"/>
    </row>
    <row r="64" ht="19.5" customHeight="1">
      <c r="A64" s="50"/>
      <c r="B64" s="43" t="s">
        <v>61</v>
      </c>
      <c r="C64" s="44" t="s">
        <v>64</v>
      </c>
      <c r="D64" s="45"/>
      <c r="E64" s="65">
        <v>1000.0</v>
      </c>
      <c r="F64" s="47"/>
      <c r="G64" s="48">
        <v>0.506</v>
      </c>
      <c r="H64" s="49">
        <f t="shared" si="1"/>
        <v>506</v>
      </c>
      <c r="I64" s="50"/>
    </row>
    <row r="65" ht="19.5" customHeight="1">
      <c r="A65" s="50"/>
      <c r="B65" s="51"/>
      <c r="C65" s="52"/>
      <c r="D65" s="53"/>
      <c r="E65" s="58"/>
      <c r="F65" s="55"/>
      <c r="G65" s="66"/>
      <c r="H65" s="57"/>
      <c r="I65" s="50"/>
    </row>
    <row r="66" ht="19.5" customHeight="1">
      <c r="A66" s="50"/>
      <c r="B66" s="43"/>
      <c r="C66" s="67"/>
      <c r="D66" s="45"/>
      <c r="E66" s="68"/>
      <c r="F66" s="69"/>
      <c r="G66" s="70"/>
      <c r="H66" s="49"/>
      <c r="I66" s="50"/>
    </row>
    <row r="67" ht="19.5" customHeight="1">
      <c r="A67" s="50"/>
      <c r="B67" s="51"/>
      <c r="C67" s="71"/>
      <c r="D67" s="53"/>
      <c r="E67" s="72"/>
      <c r="F67" s="73"/>
      <c r="G67" s="66"/>
      <c r="H67" s="57"/>
      <c r="I67" s="50"/>
    </row>
    <row r="68" ht="19.5" customHeight="1">
      <c r="A68" s="50"/>
      <c r="B68" s="43"/>
      <c r="C68" s="67"/>
      <c r="D68" s="45"/>
      <c r="E68" s="68"/>
      <c r="F68" s="69"/>
      <c r="G68" s="70"/>
      <c r="H68" s="49"/>
      <c r="I68" s="50"/>
    </row>
    <row r="69" ht="19.5" customHeight="1">
      <c r="A69" s="50"/>
      <c r="B69" s="51"/>
      <c r="C69" s="74"/>
      <c r="D69" s="74"/>
      <c r="E69" s="74"/>
      <c r="F69" s="73"/>
      <c r="G69" s="66"/>
      <c r="H69" s="57"/>
      <c r="I69" s="50"/>
    </row>
    <row r="70" ht="21.0" customHeight="1">
      <c r="A70" s="50"/>
      <c r="B70" s="75"/>
      <c r="C70" s="76"/>
      <c r="D70" s="76"/>
      <c r="E70" s="76"/>
      <c r="F70" s="69"/>
      <c r="G70" s="70"/>
      <c r="H70" s="49"/>
      <c r="I70" s="50"/>
    </row>
    <row r="71" ht="19.5" hidden="1" customHeight="1">
      <c r="A71" s="9"/>
      <c r="B71" s="77"/>
      <c r="C71" s="77"/>
      <c r="D71" s="77"/>
      <c r="E71" s="77"/>
      <c r="F71" s="78"/>
      <c r="G71" s="66"/>
      <c r="H71" s="57">
        <f t="shared" ref="H71:H75" si="2">product(F71,G71)</f>
        <v>0</v>
      </c>
      <c r="I71" s="9"/>
    </row>
    <row r="72" ht="19.5" hidden="1" customHeight="1">
      <c r="A72" s="9"/>
      <c r="B72" s="75"/>
      <c r="C72" s="75"/>
      <c r="D72" s="75"/>
      <c r="E72" s="75"/>
      <c r="F72" s="79"/>
      <c r="G72" s="70"/>
      <c r="H72" s="49">
        <f t="shared" si="2"/>
        <v>0</v>
      </c>
      <c r="I72" s="9"/>
    </row>
    <row r="73" ht="19.5" hidden="1" customHeight="1">
      <c r="A73" s="9"/>
      <c r="B73" s="77"/>
      <c r="C73" s="77"/>
      <c r="D73" s="77"/>
      <c r="E73" s="77"/>
      <c r="F73" s="78"/>
      <c r="G73" s="66"/>
      <c r="H73" s="57">
        <f t="shared" si="2"/>
        <v>0</v>
      </c>
      <c r="I73" s="9"/>
    </row>
    <row r="74" ht="19.5" hidden="1" customHeight="1">
      <c r="A74" s="9"/>
      <c r="B74" s="75"/>
      <c r="C74" s="75"/>
      <c r="D74" s="75"/>
      <c r="E74" s="75"/>
      <c r="F74" s="79"/>
      <c r="G74" s="70"/>
      <c r="H74" s="49">
        <f t="shared" si="2"/>
        <v>0</v>
      </c>
      <c r="I74" s="9"/>
    </row>
    <row r="75" ht="19.5" hidden="1" customHeight="1">
      <c r="A75" s="9"/>
      <c r="B75" s="77"/>
      <c r="C75" s="77"/>
      <c r="D75" s="77"/>
      <c r="E75" s="77"/>
      <c r="F75" s="78"/>
      <c r="G75" s="66"/>
      <c r="H75" s="57">
        <f t="shared" si="2"/>
        <v>0</v>
      </c>
      <c r="I75" s="9"/>
    </row>
    <row r="76" ht="19.5" customHeight="1">
      <c r="A76" s="80"/>
      <c r="B76" s="81"/>
      <c r="C76" s="81"/>
      <c r="D76" s="81"/>
      <c r="E76" s="82">
        <f>SUM(E28:E65)</f>
        <v>93000</v>
      </c>
      <c r="F76" s="83"/>
      <c r="G76" s="84"/>
      <c r="H76" s="85">
        <f>SUM(H28:H65)</f>
        <v>47058</v>
      </c>
      <c r="I76" s="80"/>
    </row>
    <row r="77" ht="18.0" customHeight="1">
      <c r="A77" s="80"/>
      <c r="B77" s="86"/>
      <c r="C77" s="86"/>
      <c r="D77" s="86"/>
      <c r="E77" s="86"/>
      <c r="F77" s="78"/>
      <c r="H77" s="87" t="str">
        <f>H70</f>
        <v/>
      </c>
      <c r="I77" s="80"/>
    </row>
    <row r="78" ht="18.0" customHeight="1">
      <c r="A78" s="80"/>
      <c r="B78" s="88"/>
      <c r="C78" s="88"/>
      <c r="D78" s="88"/>
      <c r="E78" s="88"/>
      <c r="F78" s="89"/>
      <c r="H78" s="90"/>
      <c r="I78" s="80"/>
    </row>
    <row r="79" ht="18.0" customHeight="1">
      <c r="A79" s="80"/>
      <c r="B79" s="88"/>
      <c r="C79" s="88"/>
      <c r="D79" s="88"/>
      <c r="E79" s="88"/>
      <c r="F79" s="89"/>
      <c r="H79" s="91"/>
      <c r="I79" s="80"/>
    </row>
    <row r="80" ht="30.0" customHeight="1">
      <c r="A80" s="92"/>
      <c r="B80" s="93"/>
      <c r="C80" s="93"/>
      <c r="D80" s="93"/>
      <c r="E80" s="93"/>
      <c r="F80" s="94"/>
      <c r="G80" s="95"/>
      <c r="I80" s="92"/>
    </row>
    <row r="81" ht="30.0" customHeight="1">
      <c r="A81" s="92"/>
      <c r="B81" s="96" t="s">
        <v>65</v>
      </c>
      <c r="C81" s="93"/>
      <c r="D81" s="93"/>
      <c r="E81" s="96"/>
      <c r="F81" s="97"/>
      <c r="G81" s="95"/>
      <c r="H81" s="95"/>
      <c r="I81" s="92"/>
    </row>
    <row r="82" ht="30.0" customHeight="1">
      <c r="A82" s="92"/>
      <c r="B82" s="98"/>
      <c r="C82" s="93"/>
      <c r="D82" s="93"/>
      <c r="E82" s="98"/>
      <c r="F82" s="94"/>
      <c r="G82" s="95"/>
      <c r="H82" s="95"/>
      <c r="I82" s="92"/>
    </row>
    <row r="83" ht="18.75" customHeight="1">
      <c r="A83" s="92"/>
      <c r="B83" s="99" t="s">
        <v>66</v>
      </c>
      <c r="C83" s="93"/>
      <c r="D83" s="93"/>
      <c r="E83" s="93"/>
      <c r="F83" s="94"/>
      <c r="G83" s="95"/>
      <c r="H83" s="95"/>
      <c r="I83" s="92"/>
    </row>
    <row r="84" ht="19.5" customHeight="1">
      <c r="A84" s="9"/>
      <c r="B84" s="99" t="s">
        <v>67</v>
      </c>
      <c r="C84" s="9"/>
      <c r="D84" s="9"/>
      <c r="E84" s="9"/>
      <c r="F84" s="100"/>
      <c r="G84" s="9"/>
      <c r="H84" s="9"/>
      <c r="I84" s="9"/>
    </row>
    <row r="85" ht="19.5" customHeight="1">
      <c r="A85" s="9"/>
      <c r="B85" s="99" t="s">
        <v>68</v>
      </c>
      <c r="C85" s="9"/>
      <c r="D85" s="9"/>
      <c r="E85" s="9"/>
      <c r="F85" s="100"/>
      <c r="G85" s="9"/>
      <c r="H85" s="9"/>
      <c r="I85" s="9"/>
    </row>
    <row r="86" ht="19.5" customHeight="1">
      <c r="A86" s="9"/>
      <c r="B86" s="99" t="s">
        <v>69</v>
      </c>
      <c r="C86" s="9"/>
      <c r="D86" s="9"/>
      <c r="E86" s="9"/>
      <c r="F86" s="100"/>
      <c r="G86" s="9"/>
      <c r="H86" s="9"/>
      <c r="I86" s="9"/>
    </row>
    <row r="87" ht="19.5" customHeight="1">
      <c r="A87" s="9"/>
      <c r="B87" s="101"/>
      <c r="C87" s="9"/>
      <c r="D87" s="9"/>
      <c r="E87" s="9"/>
      <c r="F87" s="100"/>
      <c r="G87" s="9"/>
      <c r="H87" s="9"/>
      <c r="I87" s="9"/>
    </row>
    <row r="88" ht="19.5" customHeight="1">
      <c r="A88" s="9"/>
      <c r="B88" s="101"/>
      <c r="C88" s="9"/>
      <c r="D88" s="9"/>
      <c r="E88" s="9"/>
      <c r="F88" s="100"/>
      <c r="G88" s="9"/>
      <c r="H88" s="9"/>
      <c r="I88" s="9"/>
    </row>
    <row r="89" ht="19.5" customHeight="1">
      <c r="A89" s="9"/>
      <c r="B89" s="101"/>
      <c r="C89" s="9"/>
      <c r="D89" s="9"/>
      <c r="E89" s="9"/>
      <c r="F89" s="100"/>
      <c r="G89" s="9"/>
      <c r="H89" s="9"/>
      <c r="I89" s="9"/>
    </row>
    <row r="90" ht="19.5" customHeight="1">
      <c r="A90" s="9"/>
      <c r="B90" s="101"/>
      <c r="C90" s="9"/>
      <c r="D90" s="9"/>
      <c r="E90" s="9"/>
      <c r="F90" s="100"/>
      <c r="G90" s="9"/>
      <c r="H90" s="9"/>
      <c r="I90" s="9"/>
    </row>
    <row r="91" ht="19.5" customHeight="1">
      <c r="A91" s="9"/>
      <c r="B91" s="101"/>
      <c r="C91" s="9"/>
      <c r="D91" s="9"/>
      <c r="E91" s="9"/>
      <c r="F91" s="100"/>
      <c r="G91" s="9"/>
      <c r="H91" s="9"/>
      <c r="I91" s="9"/>
    </row>
    <row r="92" ht="19.5" customHeight="1">
      <c r="A92" s="9"/>
      <c r="B92" s="101"/>
      <c r="C92" s="9"/>
      <c r="D92" s="9"/>
      <c r="E92" s="9"/>
      <c r="F92" s="100"/>
      <c r="G92" s="9"/>
      <c r="H92" s="9"/>
      <c r="I92" s="9"/>
    </row>
    <row r="93" ht="19.5" customHeight="1">
      <c r="A93" s="9"/>
      <c r="B93" s="101"/>
      <c r="C93" s="9"/>
      <c r="D93" s="9"/>
      <c r="E93" s="9"/>
      <c r="F93" s="100"/>
      <c r="G93" s="9"/>
      <c r="H93" s="9"/>
      <c r="I93" s="9"/>
    </row>
    <row r="94" ht="19.5" customHeight="1">
      <c r="A94" s="9"/>
      <c r="B94" s="101"/>
      <c r="C94" s="9"/>
      <c r="D94" s="9"/>
      <c r="E94" s="9"/>
      <c r="F94" s="100"/>
      <c r="G94" s="9"/>
      <c r="H94" s="9"/>
      <c r="I94" s="9"/>
    </row>
    <row r="95" ht="19.5" customHeight="1">
      <c r="A95" s="9"/>
      <c r="B95" s="101"/>
      <c r="C95" s="9"/>
      <c r="D95" s="9"/>
      <c r="E95" s="9"/>
      <c r="F95" s="100"/>
      <c r="G95" s="9"/>
      <c r="H95" s="9"/>
      <c r="I95" s="9"/>
    </row>
    <row r="96" ht="19.5" customHeight="1">
      <c r="A96" s="9"/>
      <c r="B96" s="101"/>
      <c r="C96" s="9"/>
      <c r="D96" s="9"/>
      <c r="E96" s="9"/>
      <c r="F96" s="100"/>
      <c r="G96" s="9"/>
      <c r="H96" s="9"/>
      <c r="I96" s="9"/>
    </row>
  </sheetData>
  <mergeCells count="49">
    <mergeCell ref="B4:E4"/>
    <mergeCell ref="B5:D5"/>
    <mergeCell ref="B6:D6"/>
    <mergeCell ref="B7:E7"/>
    <mergeCell ref="B9:H9"/>
    <mergeCell ref="D10:E10"/>
    <mergeCell ref="F10:G10"/>
    <mergeCell ref="B10:C10"/>
    <mergeCell ref="B11:C11"/>
    <mergeCell ref="D11:E11"/>
    <mergeCell ref="F11:G11"/>
    <mergeCell ref="B12:C12"/>
    <mergeCell ref="D12:E12"/>
    <mergeCell ref="F12:G12"/>
    <mergeCell ref="D15:E15"/>
    <mergeCell ref="F15:H15"/>
    <mergeCell ref="B13:C13"/>
    <mergeCell ref="D13:E13"/>
    <mergeCell ref="F13:H13"/>
    <mergeCell ref="B14:C14"/>
    <mergeCell ref="D14:E14"/>
    <mergeCell ref="F14:H14"/>
    <mergeCell ref="B15:C15"/>
    <mergeCell ref="F18:H18"/>
    <mergeCell ref="F19:H19"/>
    <mergeCell ref="F76:G76"/>
    <mergeCell ref="F77:G77"/>
    <mergeCell ref="F78:G78"/>
    <mergeCell ref="F79:G79"/>
    <mergeCell ref="G80:H80"/>
    <mergeCell ref="B16:C16"/>
    <mergeCell ref="D16:E16"/>
    <mergeCell ref="F16:H16"/>
    <mergeCell ref="B17:C17"/>
    <mergeCell ref="F17:H17"/>
    <mergeCell ref="B18:C18"/>
    <mergeCell ref="B19:C19"/>
    <mergeCell ref="B23:E23"/>
    <mergeCell ref="B24:E24"/>
    <mergeCell ref="F24:H24"/>
    <mergeCell ref="B25:E25"/>
    <mergeCell ref="F25:H25"/>
    <mergeCell ref="B20:C20"/>
    <mergeCell ref="F20:H20"/>
    <mergeCell ref="B21:C21"/>
    <mergeCell ref="F21:H21"/>
    <mergeCell ref="B22:C22"/>
    <mergeCell ref="F22:H22"/>
    <mergeCell ref="F23:H2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