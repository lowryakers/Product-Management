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" sheetId="1" r:id="rId4"/>
  </sheets>
  <definedNames/>
  <calcPr/>
</workbook>
</file>

<file path=xl/sharedStrings.xml><?xml version="1.0" encoding="utf-8"?>
<sst xmlns="http://schemas.openxmlformats.org/spreadsheetml/2006/main" count="59" uniqueCount="44">
  <si>
    <t>Purchase Order</t>
  </si>
  <si>
    <t>Date</t>
  </si>
  <si>
    <t>P.O. Date</t>
  </si>
  <si>
    <t>Ship date</t>
  </si>
  <si>
    <t>Ship via</t>
  </si>
  <si>
    <t>P.O. Number</t>
  </si>
  <si>
    <t>N/A</t>
  </si>
  <si>
    <t>#43026</t>
  </si>
  <si>
    <t>Ship To</t>
  </si>
  <si>
    <t>Vendor</t>
  </si>
  <si>
    <t>Name: Danny</t>
  </si>
  <si>
    <t>Name: Michael Rino</t>
  </si>
  <si>
    <t>ProDough Shop</t>
  </si>
  <si>
    <t>Company: Professional Packaging Services (PPS)</t>
  </si>
  <si>
    <t>281 E 1600 N</t>
  </si>
  <si>
    <t>Address: 1192 E. Draper Parkway #345</t>
  </si>
  <si>
    <t>Vineyard, UT 84059</t>
  </si>
  <si>
    <t>Draper, UT 84020</t>
  </si>
  <si>
    <t>(773) 958-4218</t>
  </si>
  <si>
    <t>801-647-2889</t>
  </si>
  <si>
    <t>danny@prodoughshop.com</t>
  </si>
  <si>
    <t>mrino@propackserv.com</t>
  </si>
  <si>
    <t>Description</t>
  </si>
  <si>
    <t>Flavor</t>
  </si>
  <si>
    <t>QTY</t>
  </si>
  <si>
    <t>Unit Cost</t>
  </si>
  <si>
    <t>Total</t>
  </si>
  <si>
    <t>ProDough Pancake Pouch</t>
  </si>
  <si>
    <t xml:space="preserve">Buttermilk </t>
  </si>
  <si>
    <t>leaving off this PO</t>
  </si>
  <si>
    <t xml:space="preserve">Chocolate </t>
  </si>
  <si>
    <t xml:space="preserve">Cinnamon Swirl </t>
  </si>
  <si>
    <t xml:space="preserve">Pumpkin Spice </t>
  </si>
  <si>
    <t>ProDough Crepe Pouch</t>
  </si>
  <si>
    <t xml:space="preserve">Original </t>
  </si>
  <si>
    <t>ProDough Cupcake Pouch</t>
  </si>
  <si>
    <t xml:space="preserve">Vanilla </t>
  </si>
  <si>
    <t>GF Flour Pouch</t>
  </si>
  <si>
    <t>GF Flour</t>
  </si>
  <si>
    <t xml:space="preserve">Authorized By:              Daniel Augustyn CEO                                                                  </t>
  </si>
  <si>
    <t>Size: 8.00 W x 9.00 L + 3.00 G</t>
  </si>
  <si>
    <t>Structure: Karess Soft Touch Matte PET/White 48ga METPET/3.0mil Clear LLDPE</t>
  </si>
  <si>
    <t>Print: CMYK</t>
  </si>
  <si>
    <t>Zipper: Aplix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</si>
</sst>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00"/>
    <numFmt numFmtId="166" formatCode="&quot;$&quot;#,##0.00"/>
  </numFmts>
  <fonts count="27">
    <font>
      <sz val="10.0"/>
      <color rgb="FF000000"/>
      <name val="Arial"/>
    </font>
    <font>
      <color rgb="FF666666"/>
      <name val="Roboto"/>
    </font>
    <font>
      <name val="Roboto"/>
    </font>
    <font>
      <sz val="14.0"/>
      <name val="Roboto"/>
    </font>
    <font>
      <sz val="20.0"/>
      <color rgb="FF6D64E8"/>
      <name val="Roboto"/>
    </font>
    <font>
      <color rgb="FF6D64E8"/>
      <name val="Roboto"/>
    </font>
    <font>
      <sz val="10.0"/>
      <color rgb="FF666666"/>
      <name val="Roboto"/>
    </font>
    <font>
      <b/>
      <u/>
      <sz val="24.0"/>
      <color rgb="FF000000"/>
      <name val="Roboto"/>
    </font>
    <font>
      <sz val="13.0"/>
      <color rgb="FF666666"/>
      <name val="Roboto"/>
    </font>
    <font>
      <b/>
      <sz val="12.0"/>
      <color rgb="FF434343"/>
      <name val="Roboto"/>
    </font>
    <font>
      <sz val="13.0"/>
      <color rgb="FF434343"/>
      <name val="Roboto"/>
    </font>
    <font/>
    <font>
      <color rgb="FF999999"/>
      <name val="Roboto"/>
    </font>
    <font>
      <b/>
      <color rgb="FF666666"/>
      <name val="Roboto"/>
    </font>
    <font>
      <b/>
      <sz val="10.0"/>
      <color rgb="FF666666"/>
      <name val="Roboto"/>
    </font>
    <font>
      <b/>
      <sz val="12.0"/>
      <color rgb="FF000000"/>
      <name val="Roboto"/>
    </font>
    <font>
      <b/>
      <sz val="12.0"/>
      <color rgb="FF2A3990"/>
      <name val="Roboto"/>
    </font>
    <font>
      <name val="Arial"/>
    </font>
    <font>
      <sz val="14.0"/>
      <color rgb="FF666666"/>
      <name val="Roboto"/>
    </font>
    <font>
      <color rgb="FF000000"/>
      <name val="Roboto"/>
    </font>
    <font>
      <sz val="18.0"/>
      <color rgb="FF666666"/>
      <name val="Roboto"/>
    </font>
    <font>
      <sz val="18.0"/>
      <name val="Roboto"/>
    </font>
    <font>
      <b/>
      <sz val="20.0"/>
      <color rgb="FFE01B84"/>
      <name val="Roboto"/>
    </font>
    <font>
      <u/>
      <sz val="12.0"/>
      <name val="Roboto"/>
    </font>
    <font>
      <u/>
      <sz val="12.0"/>
      <name val="Roboto"/>
    </font>
    <font>
      <sz val="12.0"/>
      <name val="Roboto"/>
    </font>
    <font>
      <sz val="11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2" numFmtId="1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" numFmtId="1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1" numFmtId="0" xfId="0" applyBorder="1" applyFont="1"/>
    <xf borderId="1" fillId="0" fontId="1" numFmtId="0" xfId="0" applyBorder="1" applyFont="1"/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readingOrder="0" vertical="center"/>
    </xf>
    <xf borderId="0" fillId="0" fontId="15" numFmtId="0" xfId="0" applyAlignment="1" applyFont="1">
      <alignment horizontal="right" readingOrder="0" vertical="center"/>
    </xf>
    <xf borderId="0" fillId="2" fontId="1" numFmtId="0" xfId="0" applyAlignment="1" applyFill="1" applyFont="1">
      <alignment readingOrder="0"/>
    </xf>
    <xf borderId="0" fillId="2" fontId="17" numFmtId="0" xfId="0" applyAlignment="1" applyFont="1">
      <alignment shrinkToFit="0" wrapText="1"/>
    </xf>
    <xf borderId="0" fillId="2" fontId="17" numFmtId="0" xfId="0" applyFont="1"/>
    <xf borderId="0" fillId="2" fontId="13" numFmtId="3" xfId="0" applyAlignment="1" applyFont="1" applyNumberFormat="1">
      <alignment horizontal="right" readingOrder="0"/>
    </xf>
    <xf borderId="0" fillId="2" fontId="1" numFmtId="3" xfId="0" applyAlignment="1" applyFont="1" applyNumberFormat="1">
      <alignment horizontal="right" readingOrder="0" vertical="center"/>
    </xf>
    <xf borderId="0" fillId="2" fontId="1" numFmtId="165" xfId="0" applyAlignment="1" applyFont="1" applyNumberFormat="1">
      <alignment readingOrder="0" vertical="center"/>
    </xf>
    <xf borderId="0" fillId="2" fontId="6" numFmtId="166" xfId="0" applyAlignment="1" applyFont="1" applyNumberFormat="1">
      <alignment readingOrder="0" vertical="center"/>
    </xf>
    <xf borderId="0" fillId="3" fontId="6" numFmtId="0" xfId="0" applyAlignment="1" applyFill="1" applyFont="1">
      <alignment readingOrder="0" vertical="center"/>
    </xf>
    <xf borderId="0" fillId="0" fontId="18" numFmtId="0" xfId="0" applyAlignment="1" applyFont="1">
      <alignment vertical="center"/>
    </xf>
    <xf borderId="0" fillId="4" fontId="6" numFmtId="0" xfId="0" applyAlignment="1" applyFill="1" applyFont="1">
      <alignment readingOrder="0" vertical="center"/>
    </xf>
    <xf borderId="0" fillId="3" fontId="1" numFmtId="0" xfId="0" applyAlignment="1" applyFont="1">
      <alignment readingOrder="0"/>
    </xf>
    <xf borderId="0" fillId="3" fontId="17" numFmtId="0" xfId="0" applyAlignment="1" applyFont="1">
      <alignment shrinkToFit="0" wrapText="1"/>
    </xf>
    <xf borderId="0" fillId="3" fontId="17" numFmtId="0" xfId="0" applyFont="1"/>
    <xf borderId="0" fillId="3" fontId="13" numFmtId="3" xfId="0" applyAlignment="1" applyFont="1" applyNumberFormat="1">
      <alignment horizontal="right" readingOrder="0"/>
    </xf>
    <xf borderId="0" fillId="3" fontId="1" numFmtId="3" xfId="0" applyAlignment="1" applyFont="1" applyNumberFormat="1">
      <alignment horizontal="right" readingOrder="0" vertical="center"/>
    </xf>
    <xf borderId="0" fillId="3" fontId="1" numFmtId="165" xfId="0" applyAlignment="1" applyFont="1" applyNumberFormat="1">
      <alignment readingOrder="0" vertical="center"/>
    </xf>
    <xf borderId="0" fillId="3" fontId="6" numFmtId="166" xfId="0" applyAlignment="1" applyFont="1" applyNumberFormat="1">
      <alignment readingOrder="0" vertical="center"/>
    </xf>
    <xf borderId="0" fillId="3" fontId="6" numFmtId="0" xfId="0" applyAlignment="1" applyFont="1">
      <alignment readingOrder="0" vertical="center"/>
    </xf>
    <xf borderId="0" fillId="4" fontId="1" numFmtId="0" xfId="0" applyAlignment="1" applyFont="1">
      <alignment readingOrder="0"/>
    </xf>
    <xf borderId="0" fillId="4" fontId="17" numFmtId="0" xfId="0" applyAlignment="1" applyFont="1">
      <alignment shrinkToFit="0" wrapText="1"/>
    </xf>
    <xf borderId="0" fillId="4" fontId="17" numFmtId="0" xfId="0" applyFont="1"/>
    <xf borderId="0" fillId="4" fontId="13" numFmtId="3" xfId="0" applyAlignment="1" applyFont="1" applyNumberFormat="1">
      <alignment horizontal="right" readingOrder="0"/>
    </xf>
    <xf borderId="0" fillId="4" fontId="1" numFmtId="3" xfId="0" applyAlignment="1" applyFont="1" applyNumberFormat="1">
      <alignment horizontal="right" readingOrder="0" vertical="center"/>
    </xf>
    <xf borderId="0" fillId="4" fontId="1" numFmtId="165" xfId="0" applyAlignment="1" applyFont="1" applyNumberFormat="1">
      <alignment readingOrder="0" vertical="center"/>
    </xf>
    <xf borderId="0" fillId="4" fontId="6" numFmtId="166" xfId="0" applyAlignment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0" fillId="3" fontId="17" numFmtId="0" xfId="0" applyAlignment="1" applyFont="1">
      <alignment readingOrder="0" shrinkToFit="0" wrapText="1"/>
    </xf>
    <xf borderId="0" fillId="4" fontId="18" numFmtId="0" xfId="0" applyAlignment="1" applyFont="1">
      <alignment vertical="center"/>
    </xf>
    <xf borderId="0" fillId="3" fontId="17" numFmtId="0" xfId="0" applyAlignment="1" applyFont="1">
      <alignment shrinkToFit="0" vertical="bottom" wrapText="1"/>
    </xf>
    <xf borderId="0" fillId="3" fontId="13" numFmtId="3" xfId="0" applyAlignment="1" applyFont="1" applyNumberFormat="1">
      <alignment horizontal="right"/>
    </xf>
    <xf borderId="0" fillId="3" fontId="1" numFmtId="0" xfId="0" applyAlignment="1" applyFont="1">
      <alignment horizontal="right" readingOrder="0" vertical="center"/>
    </xf>
    <xf borderId="0" fillId="3" fontId="1" numFmtId="166" xfId="0" applyAlignment="1" applyFont="1" applyNumberFormat="1">
      <alignment readingOrder="0" vertical="center"/>
    </xf>
    <xf borderId="0" fillId="4" fontId="13" numFmtId="0" xfId="0" applyAlignment="1" applyFont="1">
      <alignment readingOrder="0" vertical="center"/>
    </xf>
    <xf borderId="0" fillId="4" fontId="1" numFmtId="0" xfId="0" applyAlignment="1" applyFont="1">
      <alignment horizontal="right" readingOrder="0" vertical="center"/>
    </xf>
    <xf borderId="0" fillId="4" fontId="1" numFmtId="166" xfId="0" applyAlignment="1" applyFont="1" applyNumberForma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3" fontId="13" numFmtId="0" xfId="0" applyAlignment="1" applyFont="1">
      <alignment readingOrder="0" vertical="center"/>
    </xf>
    <xf borderId="0" fillId="4" fontId="1" numFmtId="0" xfId="0" applyAlignment="1" applyFont="1">
      <alignment horizontal="left" readingOrder="0" vertical="center"/>
    </xf>
    <xf borderId="0" fillId="4" fontId="13" numFmtId="0" xfId="0" applyAlignment="1" applyFont="1">
      <alignment horizontal="right" readingOrder="0" vertical="center"/>
    </xf>
    <xf borderId="0" fillId="3" fontId="13" numFmtId="0" xfId="0" applyAlignment="1" applyFont="1">
      <alignment horizontal="right" readingOrder="0" vertical="center"/>
    </xf>
    <xf borderId="0" fillId="0" fontId="1" numFmtId="0" xfId="0" applyAlignment="1" applyFont="1">
      <alignment vertical="bottom"/>
    </xf>
    <xf borderId="2" fillId="3" fontId="1" numFmtId="0" xfId="0" applyAlignment="1" applyBorder="1" applyFont="1">
      <alignment horizontal="left" readingOrder="0" vertical="center"/>
    </xf>
    <xf borderId="2" fillId="3" fontId="13" numFmtId="3" xfId="0" applyAlignment="1" applyBorder="1" applyFont="1" applyNumberFormat="1">
      <alignment horizontal="right" readingOrder="0" vertical="center"/>
    </xf>
    <xf borderId="2" fillId="3" fontId="13" numFmtId="0" xfId="0" applyAlignment="1" applyBorder="1" applyFont="1">
      <alignment horizontal="right" readingOrder="0" vertical="center"/>
    </xf>
    <xf borderId="2" fillId="3" fontId="11" numFmtId="0" xfId="0" applyBorder="1" applyFont="1"/>
    <xf borderId="2" fillId="3" fontId="14" numFmtId="166" xfId="0" applyAlignment="1" applyBorder="1" applyFont="1" applyNumberFormat="1">
      <alignment readingOrder="0" vertical="center"/>
    </xf>
    <xf borderId="0" fillId="3" fontId="14" numFmtId="0" xfId="0" applyAlignment="1" applyFont="1">
      <alignment readingOrder="0" vertical="center"/>
    </xf>
    <xf borderId="0" fillId="0" fontId="2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  <xf borderId="0" fillId="0" fontId="13" numFmtId="166" xfId="0" applyAlignment="1" applyFont="1" applyNumberFormat="1">
      <alignment readingOrder="0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2" numFmtId="166" xfId="0" applyAlignment="1" applyFont="1" applyNumberFormat="1">
      <alignment horizontal="right"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horizontal="right" vertical="bottom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 vertical="center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3</xdr:row>
      <xdr:rowOff>47625</xdr:rowOff>
    </xdr:from>
    <xdr:ext cx="293370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34.25"/>
    <col customWidth="1" min="3" max="3" width="29.5"/>
    <col customWidth="1" min="4" max="4" width="6.75"/>
    <col customWidth="1" min="5" max="5" width="7.13"/>
    <col customWidth="1" min="6" max="6" width="6.13"/>
    <col customWidth="1" min="7" max="7" width="11.63"/>
    <col customWidth="1" min="8" max="8" width="11.75"/>
    <col customWidth="1" min="9" max="9" width="14.5"/>
  </cols>
  <sheetData>
    <row r="1" ht="18.0" customHeight="1">
      <c r="A1" s="1"/>
      <c r="B1" s="2"/>
      <c r="C1" s="2"/>
      <c r="D1" s="3"/>
      <c r="E1" s="3"/>
      <c r="F1" s="4"/>
      <c r="G1" s="5"/>
      <c r="H1" s="5"/>
      <c r="I1" s="1"/>
    </row>
    <row r="2" ht="18.0" customHeight="1">
      <c r="A2" s="1"/>
      <c r="B2" s="2"/>
      <c r="C2" s="2"/>
      <c r="D2" s="3"/>
      <c r="E2" s="3"/>
      <c r="F2" s="4"/>
      <c r="G2" s="5"/>
      <c r="H2" s="5"/>
      <c r="I2" s="1"/>
    </row>
    <row r="3" ht="18.0" customHeight="1">
      <c r="A3" s="1"/>
      <c r="B3" s="2"/>
      <c r="C3" s="2"/>
      <c r="D3" s="3"/>
      <c r="E3" s="3"/>
      <c r="F3" s="4"/>
      <c r="G3" s="5"/>
      <c r="H3" s="5"/>
      <c r="I3" s="1"/>
    </row>
    <row r="4" ht="19.5" customHeight="1">
      <c r="A4" s="1"/>
      <c r="B4" s="6"/>
      <c r="F4" s="7"/>
      <c r="G4" s="8"/>
      <c r="H4" s="8"/>
      <c r="I4" s="1"/>
    </row>
    <row r="5">
      <c r="A5" s="9"/>
      <c r="B5" s="10"/>
      <c r="E5" s="11"/>
      <c r="F5" s="12"/>
      <c r="G5" s="13"/>
      <c r="H5" s="13"/>
      <c r="I5" s="1"/>
    </row>
    <row r="6">
      <c r="A6" s="9"/>
      <c r="B6" s="14"/>
      <c r="E6" s="15"/>
      <c r="F6" s="12"/>
      <c r="G6" s="13"/>
      <c r="H6" s="13"/>
      <c r="I6" s="1"/>
    </row>
    <row r="7">
      <c r="A7" s="9"/>
      <c r="B7" s="16"/>
      <c r="F7" s="17"/>
      <c r="G7" s="9"/>
      <c r="H7" s="9"/>
      <c r="I7" s="9"/>
    </row>
    <row r="8" ht="18.0" customHeight="1">
      <c r="A8" s="18"/>
      <c r="B8" s="9"/>
      <c r="C8" s="9"/>
      <c r="D8" s="13"/>
      <c r="E8" s="13"/>
      <c r="F8" s="13"/>
      <c r="G8" s="13"/>
      <c r="H8" s="13"/>
      <c r="I8" s="18"/>
    </row>
    <row r="9" ht="19.5" customHeight="1">
      <c r="A9" s="18"/>
      <c r="B9" s="19" t="s">
        <v>0</v>
      </c>
      <c r="I9" s="18"/>
    </row>
    <row r="10">
      <c r="A10" s="9"/>
      <c r="B10" s="20"/>
      <c r="D10" s="21"/>
      <c r="F10" s="21"/>
      <c r="H10" s="21"/>
      <c r="I10" s="9"/>
    </row>
    <row r="11" ht="18.0" customHeight="1">
      <c r="A11" s="22"/>
      <c r="B11" s="23" t="s">
        <v>1</v>
      </c>
      <c r="D11" s="23"/>
      <c r="F11" s="23" t="s">
        <v>2</v>
      </c>
      <c r="H11" s="24"/>
      <c r="I11" s="22"/>
    </row>
    <row r="12" ht="18.0" customHeight="1">
      <c r="A12" s="9"/>
      <c r="B12" s="25">
        <v>46140.0</v>
      </c>
      <c r="D12" s="26"/>
      <c r="F12" s="27">
        <v>46140.0</v>
      </c>
      <c r="H12" s="28"/>
      <c r="I12" s="18"/>
    </row>
    <row r="13">
      <c r="A13" s="22"/>
      <c r="B13" s="29"/>
      <c r="D13" s="29"/>
      <c r="F13" s="29"/>
      <c r="I13" s="22"/>
    </row>
    <row r="14" ht="18.0" customHeight="1">
      <c r="A14" s="22"/>
      <c r="B14" s="23" t="s">
        <v>3</v>
      </c>
      <c r="D14" s="23" t="s">
        <v>4</v>
      </c>
      <c r="F14" s="23" t="s">
        <v>5</v>
      </c>
      <c r="I14" s="29"/>
    </row>
    <row r="15" ht="18.0" customHeight="1">
      <c r="A15" s="17"/>
      <c r="B15" s="30" t="s">
        <v>6</v>
      </c>
      <c r="D15" s="31" t="s">
        <v>6</v>
      </c>
      <c r="F15" s="31" t="s">
        <v>7</v>
      </c>
      <c r="I15" s="17"/>
    </row>
    <row r="16">
      <c r="A16" s="9"/>
      <c r="B16" s="32"/>
      <c r="C16" s="33"/>
      <c r="D16" s="32"/>
      <c r="E16" s="33"/>
      <c r="F16" s="34"/>
      <c r="G16" s="33"/>
      <c r="H16" s="33"/>
      <c r="I16" s="9"/>
    </row>
    <row r="17">
      <c r="A17" s="9"/>
      <c r="B17" s="35"/>
      <c r="D17" s="35"/>
      <c r="E17" s="35"/>
      <c r="F17" s="21"/>
      <c r="I17" s="9"/>
    </row>
    <row r="18" ht="18.0" customHeight="1">
      <c r="A18" s="9"/>
      <c r="B18" s="23" t="s">
        <v>8</v>
      </c>
      <c r="D18" s="23"/>
      <c r="E18" s="23"/>
      <c r="F18" s="23" t="s">
        <v>9</v>
      </c>
      <c r="I18" s="9"/>
    </row>
    <row r="19" ht="18.0" customHeight="1">
      <c r="A19" s="17"/>
      <c r="B19" s="36" t="s">
        <v>10</v>
      </c>
      <c r="D19" s="37"/>
      <c r="E19" s="37"/>
      <c r="F19" s="37" t="s">
        <v>11</v>
      </c>
      <c r="I19" s="17"/>
    </row>
    <row r="20">
      <c r="A20" s="17"/>
      <c r="B20" s="38" t="s">
        <v>12</v>
      </c>
      <c r="D20" s="31"/>
      <c r="E20" s="31"/>
      <c r="F20" s="31" t="s">
        <v>13</v>
      </c>
      <c r="I20" s="17"/>
    </row>
    <row r="21">
      <c r="A21" s="17"/>
      <c r="B21" s="38" t="s">
        <v>14</v>
      </c>
      <c r="D21" s="31"/>
      <c r="E21" s="31"/>
      <c r="F21" s="31" t="s">
        <v>15</v>
      </c>
      <c r="I21" s="17"/>
    </row>
    <row r="22">
      <c r="A22" s="17"/>
      <c r="B22" s="38" t="s">
        <v>16</v>
      </c>
      <c r="D22" s="31"/>
      <c r="E22" s="31"/>
      <c r="F22" s="31" t="s">
        <v>17</v>
      </c>
      <c r="I22" s="17"/>
    </row>
    <row r="23">
      <c r="A23" s="17"/>
      <c r="B23" s="31" t="s">
        <v>18</v>
      </c>
      <c r="F23" s="31" t="s">
        <v>19</v>
      </c>
      <c r="I23" s="17"/>
    </row>
    <row r="24">
      <c r="A24" s="17"/>
      <c r="B24" s="31" t="s">
        <v>20</v>
      </c>
      <c r="F24" s="31" t="s">
        <v>21</v>
      </c>
      <c r="I24" s="17"/>
    </row>
    <row r="25">
      <c r="A25" s="12"/>
      <c r="B25" s="39"/>
      <c r="C25" s="33"/>
      <c r="D25" s="33"/>
      <c r="E25" s="33"/>
      <c r="F25" s="39"/>
      <c r="G25" s="33"/>
      <c r="H25" s="33"/>
      <c r="I25" s="12"/>
    </row>
    <row r="26">
      <c r="A26" s="9"/>
      <c r="B26" s="13"/>
      <c r="C26" s="13"/>
      <c r="D26" s="13"/>
      <c r="E26" s="13"/>
      <c r="F26" s="13"/>
      <c r="G26" s="13"/>
      <c r="H26" s="13"/>
      <c r="I26" s="9"/>
    </row>
    <row r="27" ht="30.0" customHeight="1">
      <c r="A27" s="9"/>
      <c r="B27" s="40" t="s">
        <v>22</v>
      </c>
      <c r="C27" s="41" t="s">
        <v>23</v>
      </c>
      <c r="D27" s="41"/>
      <c r="E27" s="41" t="s">
        <v>24</v>
      </c>
      <c r="F27" s="42"/>
      <c r="G27" s="42" t="s">
        <v>25</v>
      </c>
      <c r="H27" s="42" t="s">
        <v>26</v>
      </c>
      <c r="I27" s="9"/>
    </row>
    <row r="28" ht="19.5" customHeight="1">
      <c r="A28" s="17"/>
      <c r="B28" s="43" t="s">
        <v>27</v>
      </c>
      <c r="C28" s="44" t="s">
        <v>28</v>
      </c>
      <c r="D28" s="45"/>
      <c r="E28" s="46">
        <v>10000.0</v>
      </c>
      <c r="F28" s="47"/>
      <c r="G28" s="48">
        <v>0.434</v>
      </c>
      <c r="H28" s="49">
        <f t="shared" ref="H28:H38" si="1">G28*E28</f>
        <v>4340</v>
      </c>
      <c r="I28" s="50" t="s">
        <v>29</v>
      </c>
    </row>
    <row r="29" ht="19.5" customHeight="1">
      <c r="A29" s="51"/>
      <c r="B29" s="43" t="s">
        <v>27</v>
      </c>
      <c r="C29" s="44" t="s">
        <v>30</v>
      </c>
      <c r="D29" s="45"/>
      <c r="E29" s="46">
        <v>10000.0</v>
      </c>
      <c r="F29" s="47"/>
      <c r="G29" s="48">
        <v>0.434</v>
      </c>
      <c r="H29" s="49">
        <f t="shared" si="1"/>
        <v>4340</v>
      </c>
      <c r="I29" s="52" t="s">
        <v>29</v>
      </c>
    </row>
    <row r="30" ht="19.5" customHeight="1">
      <c r="A30" s="51"/>
      <c r="B30" s="43" t="s">
        <v>27</v>
      </c>
      <c r="C30" s="44" t="s">
        <v>31</v>
      </c>
      <c r="D30" s="45"/>
      <c r="E30" s="46">
        <v>10000.0</v>
      </c>
      <c r="F30" s="47"/>
      <c r="G30" s="48">
        <v>0.434</v>
      </c>
      <c r="H30" s="49">
        <f t="shared" si="1"/>
        <v>4340</v>
      </c>
      <c r="I30" s="50" t="s">
        <v>29</v>
      </c>
    </row>
    <row r="31" ht="19.5" customHeight="1">
      <c r="A31" s="51"/>
      <c r="B31" s="43" t="s">
        <v>27</v>
      </c>
      <c r="C31" s="44" t="s">
        <v>32</v>
      </c>
      <c r="D31" s="45"/>
      <c r="E31" s="46">
        <v>10000.0</v>
      </c>
      <c r="F31" s="47"/>
      <c r="G31" s="48">
        <v>0.434</v>
      </c>
      <c r="H31" s="49">
        <f t="shared" si="1"/>
        <v>4340</v>
      </c>
      <c r="I31" s="52" t="s">
        <v>29</v>
      </c>
    </row>
    <row r="32" ht="19.5" customHeight="1">
      <c r="A32" s="51"/>
      <c r="B32" s="53" t="s">
        <v>33</v>
      </c>
      <c r="C32" s="54" t="s">
        <v>34</v>
      </c>
      <c r="D32" s="55"/>
      <c r="E32" s="56">
        <v>5000.0</v>
      </c>
      <c r="F32" s="57"/>
      <c r="G32" s="58">
        <v>0.434</v>
      </c>
      <c r="H32" s="59">
        <f t="shared" si="1"/>
        <v>2170</v>
      </c>
      <c r="I32" s="60"/>
    </row>
    <row r="33" ht="19.5" customHeight="1">
      <c r="A33" s="51"/>
      <c r="B33" s="61" t="s">
        <v>33</v>
      </c>
      <c r="C33" s="62" t="s">
        <v>30</v>
      </c>
      <c r="D33" s="63"/>
      <c r="E33" s="64">
        <v>5000.0</v>
      </c>
      <c r="F33" s="65"/>
      <c r="G33" s="66">
        <v>0.434</v>
      </c>
      <c r="H33" s="67">
        <f t="shared" si="1"/>
        <v>2170</v>
      </c>
      <c r="I33" s="68"/>
    </row>
    <row r="34" ht="19.5" customHeight="1">
      <c r="A34" s="51"/>
      <c r="B34" s="53" t="s">
        <v>35</v>
      </c>
      <c r="C34" s="54" t="s">
        <v>30</v>
      </c>
      <c r="D34" s="55"/>
      <c r="E34" s="56">
        <v>1000.0</v>
      </c>
      <c r="F34" s="57"/>
      <c r="G34" s="58">
        <v>0.434</v>
      </c>
      <c r="H34" s="59">
        <f t="shared" si="1"/>
        <v>434</v>
      </c>
      <c r="I34" s="60"/>
    </row>
    <row r="35" ht="19.5" customHeight="1">
      <c r="A35" s="51"/>
      <c r="B35" s="61" t="s">
        <v>35</v>
      </c>
      <c r="C35" s="62" t="s">
        <v>31</v>
      </c>
      <c r="D35" s="63"/>
      <c r="E35" s="64">
        <v>1000.0</v>
      </c>
      <c r="F35" s="65"/>
      <c r="G35" s="66">
        <v>0.434</v>
      </c>
      <c r="H35" s="67">
        <f t="shared" si="1"/>
        <v>434</v>
      </c>
      <c r="I35" s="68"/>
    </row>
    <row r="36" ht="19.5" customHeight="1">
      <c r="A36" s="51"/>
      <c r="B36" s="53" t="s">
        <v>35</v>
      </c>
      <c r="C36" s="54" t="s">
        <v>32</v>
      </c>
      <c r="D36" s="55"/>
      <c r="E36" s="56">
        <v>1000.0</v>
      </c>
      <c r="F36" s="57"/>
      <c r="G36" s="58">
        <v>0.434</v>
      </c>
      <c r="H36" s="59">
        <f t="shared" si="1"/>
        <v>434</v>
      </c>
      <c r="I36" s="60"/>
    </row>
    <row r="37" ht="19.5" customHeight="1">
      <c r="A37" s="51"/>
      <c r="B37" s="61" t="s">
        <v>35</v>
      </c>
      <c r="C37" s="62" t="s">
        <v>36</v>
      </c>
      <c r="D37" s="63"/>
      <c r="E37" s="64">
        <v>1000.0</v>
      </c>
      <c r="F37" s="65"/>
      <c r="G37" s="66">
        <v>0.434</v>
      </c>
      <c r="H37" s="67">
        <f t="shared" si="1"/>
        <v>434</v>
      </c>
      <c r="I37" s="68"/>
    </row>
    <row r="38" ht="19.5" customHeight="1">
      <c r="A38" s="51"/>
      <c r="B38" s="53" t="s">
        <v>37</v>
      </c>
      <c r="C38" s="69" t="s">
        <v>38</v>
      </c>
      <c r="D38" s="55"/>
      <c r="E38" s="56">
        <v>1000.0</v>
      </c>
      <c r="F38" s="57"/>
      <c r="G38" s="58">
        <v>0.434</v>
      </c>
      <c r="H38" s="59">
        <f t="shared" si="1"/>
        <v>434</v>
      </c>
      <c r="I38" s="60"/>
    </row>
    <row r="39" ht="19.5" customHeight="1">
      <c r="A39" s="51"/>
      <c r="I39" s="70"/>
    </row>
    <row r="40" ht="19.5" customHeight="1">
      <c r="A40" s="51"/>
      <c r="B40" s="53"/>
      <c r="C40" s="71"/>
      <c r="D40" s="55"/>
      <c r="E40" s="72"/>
      <c r="F40" s="73"/>
      <c r="G40" s="74"/>
      <c r="H40" s="59"/>
      <c r="I40" s="60"/>
    </row>
    <row r="41" ht="19.5" customHeight="1">
      <c r="A41" s="51"/>
      <c r="B41" s="61"/>
      <c r="C41" s="75"/>
      <c r="D41" s="75"/>
      <c r="E41" s="75"/>
      <c r="F41" s="76"/>
      <c r="G41" s="77"/>
      <c r="H41" s="67"/>
      <c r="I41" s="68"/>
    </row>
    <row r="42" ht="21.0" customHeight="1">
      <c r="A42" s="51"/>
      <c r="B42" s="78"/>
      <c r="C42" s="79"/>
      <c r="D42" s="79"/>
      <c r="E42" s="79"/>
      <c r="F42" s="73"/>
      <c r="G42" s="74"/>
      <c r="H42" s="59"/>
      <c r="I42" s="60"/>
    </row>
    <row r="43" ht="19.5" hidden="1" customHeight="1">
      <c r="A43" s="9"/>
      <c r="B43" s="80"/>
      <c r="C43" s="80"/>
      <c r="D43" s="80"/>
      <c r="E43" s="80"/>
      <c r="F43" s="81"/>
      <c r="G43" s="77"/>
      <c r="H43" s="67">
        <f t="shared" ref="H43:H47" si="2">product(F43,G43)</f>
        <v>0</v>
      </c>
      <c r="I43" s="68"/>
    </row>
    <row r="44" ht="19.5" hidden="1" customHeight="1">
      <c r="A44" s="9"/>
      <c r="B44" s="78"/>
      <c r="C44" s="78"/>
      <c r="D44" s="78"/>
      <c r="E44" s="78"/>
      <c r="F44" s="82"/>
      <c r="G44" s="74"/>
      <c r="H44" s="59">
        <f t="shared" si="2"/>
        <v>0</v>
      </c>
      <c r="I44" s="60"/>
    </row>
    <row r="45" ht="19.5" hidden="1" customHeight="1">
      <c r="A45" s="9"/>
      <c r="B45" s="80"/>
      <c r="C45" s="80"/>
      <c r="D45" s="80"/>
      <c r="E45" s="80"/>
      <c r="F45" s="81"/>
      <c r="G45" s="77"/>
      <c r="H45" s="67">
        <f t="shared" si="2"/>
        <v>0</v>
      </c>
      <c r="I45" s="68"/>
    </row>
    <row r="46" ht="19.5" hidden="1" customHeight="1">
      <c r="A46" s="9"/>
      <c r="B46" s="78"/>
      <c r="C46" s="78"/>
      <c r="D46" s="78"/>
      <c r="E46" s="78"/>
      <c r="F46" s="82"/>
      <c r="G46" s="74"/>
      <c r="H46" s="59">
        <f t="shared" si="2"/>
        <v>0</v>
      </c>
      <c r="I46" s="60"/>
    </row>
    <row r="47" ht="19.5" hidden="1" customHeight="1">
      <c r="A47" s="9"/>
      <c r="B47" s="80"/>
      <c r="C47" s="80"/>
      <c r="D47" s="80"/>
      <c r="E47" s="80"/>
      <c r="F47" s="81"/>
      <c r="G47" s="77"/>
      <c r="H47" s="67">
        <f t="shared" si="2"/>
        <v>0</v>
      </c>
      <c r="I47" s="68"/>
    </row>
    <row r="48" ht="19.5" customHeight="1">
      <c r="A48" s="83"/>
      <c r="B48" s="84"/>
      <c r="C48" s="84"/>
      <c r="D48" s="84"/>
      <c r="E48" s="85">
        <f>SUM(E28:E39)</f>
        <v>55000</v>
      </c>
      <c r="F48" s="86"/>
      <c r="G48" s="87"/>
      <c r="H48" s="88">
        <f>SUM(H28:H39)</f>
        <v>23870</v>
      </c>
      <c r="I48" s="89"/>
    </row>
    <row r="49" ht="18.0" customHeight="1">
      <c r="A49" s="83"/>
      <c r="B49" s="90"/>
      <c r="C49" s="90"/>
      <c r="D49" s="90"/>
      <c r="E49" s="90"/>
      <c r="F49" s="91"/>
      <c r="H49" s="92"/>
      <c r="I49" s="83"/>
    </row>
    <row r="50" ht="30.0" customHeight="1">
      <c r="A50" s="93"/>
      <c r="B50" s="94"/>
      <c r="C50" s="94"/>
      <c r="D50" s="94"/>
      <c r="E50" s="94"/>
      <c r="F50" s="95"/>
      <c r="G50" s="96"/>
      <c r="I50" s="93"/>
    </row>
    <row r="51" ht="30.0" customHeight="1">
      <c r="A51" s="93"/>
      <c r="B51" s="97" t="s">
        <v>39</v>
      </c>
      <c r="C51" s="94"/>
      <c r="D51" s="94"/>
      <c r="E51" s="97"/>
      <c r="F51" s="98"/>
      <c r="G51" s="96"/>
      <c r="H51" s="96"/>
      <c r="I51" s="93"/>
    </row>
    <row r="52" ht="30.0" customHeight="1">
      <c r="A52" s="93"/>
      <c r="B52" s="99"/>
      <c r="C52" s="94"/>
      <c r="D52" s="94"/>
      <c r="E52" s="99"/>
      <c r="F52" s="95"/>
      <c r="G52" s="96"/>
      <c r="H52" s="96"/>
      <c r="I52" s="93"/>
    </row>
    <row r="53" ht="30.0" customHeight="1">
      <c r="A53" s="93"/>
      <c r="B53" s="94"/>
      <c r="C53" s="94"/>
      <c r="D53" s="94"/>
      <c r="E53" s="94"/>
      <c r="F53" s="95"/>
      <c r="G53" s="96"/>
      <c r="H53" s="96"/>
      <c r="I53" s="93"/>
    </row>
    <row r="54">
      <c r="A54" s="9"/>
      <c r="B54" s="100" t="s">
        <v>40</v>
      </c>
      <c r="C54" s="9"/>
      <c r="D54" s="9"/>
      <c r="E54" s="9"/>
      <c r="F54" s="101"/>
      <c r="G54" s="9"/>
      <c r="H54" s="9"/>
      <c r="I54" s="9"/>
    </row>
    <row r="55" ht="19.5" customHeight="1">
      <c r="A55" s="9"/>
      <c r="B55" s="100" t="s">
        <v>41</v>
      </c>
      <c r="C55" s="9"/>
      <c r="D55" s="9"/>
      <c r="E55" s="9"/>
      <c r="F55" s="101"/>
      <c r="G55" s="9"/>
      <c r="H55" s="9"/>
      <c r="I55" s="9"/>
    </row>
    <row r="56" ht="19.5" customHeight="1">
      <c r="A56" s="9"/>
      <c r="B56" s="100" t="s">
        <v>42</v>
      </c>
      <c r="C56" s="9"/>
      <c r="D56" s="9"/>
      <c r="E56" s="9"/>
      <c r="F56" s="101"/>
      <c r="G56" s="9"/>
      <c r="H56" s="9"/>
      <c r="I56" s="9"/>
    </row>
    <row r="57" ht="19.5" customHeight="1">
      <c r="A57" s="9"/>
      <c r="B57" s="100" t="s">
        <v>43</v>
      </c>
      <c r="C57" s="9"/>
      <c r="D57" s="9"/>
      <c r="E57" s="9"/>
      <c r="F57" s="101"/>
      <c r="G57" s="9"/>
      <c r="H57" s="9"/>
      <c r="I57" s="9"/>
    </row>
    <row r="58" ht="19.5" customHeight="1">
      <c r="A58" s="9"/>
      <c r="B58" s="9"/>
      <c r="C58" s="9"/>
      <c r="D58" s="9"/>
      <c r="E58" s="9"/>
      <c r="F58" s="101"/>
      <c r="G58" s="9"/>
      <c r="H58" s="9"/>
      <c r="I58" s="9"/>
    </row>
    <row r="59" ht="19.5" customHeight="1">
      <c r="A59" s="9"/>
      <c r="B59" s="9"/>
      <c r="C59" s="9"/>
      <c r="D59" s="9"/>
      <c r="E59" s="9"/>
      <c r="F59" s="101"/>
      <c r="G59" s="9"/>
      <c r="H59" s="9"/>
      <c r="I59" s="9"/>
    </row>
    <row r="60" ht="19.5" customHeight="1">
      <c r="A60" s="9"/>
      <c r="B60" s="9"/>
      <c r="C60" s="9"/>
      <c r="D60" s="9"/>
      <c r="E60" s="9"/>
      <c r="F60" s="101"/>
      <c r="G60" s="9"/>
      <c r="H60" s="9"/>
      <c r="I60" s="9"/>
    </row>
    <row r="61" ht="19.5" customHeight="1">
      <c r="A61" s="9"/>
      <c r="B61" s="9"/>
      <c r="C61" s="9"/>
      <c r="D61" s="9"/>
      <c r="E61" s="9"/>
      <c r="F61" s="101"/>
      <c r="G61" s="9"/>
      <c r="H61" s="9"/>
      <c r="I61" s="9"/>
    </row>
    <row r="62" ht="19.5" customHeight="1">
      <c r="A62" s="9"/>
      <c r="B62" s="9"/>
      <c r="C62" s="9"/>
      <c r="D62" s="9"/>
      <c r="E62" s="9"/>
      <c r="F62" s="101"/>
      <c r="G62" s="9"/>
      <c r="H62" s="9"/>
      <c r="I62" s="9"/>
    </row>
    <row r="63" ht="19.5" customHeight="1">
      <c r="A63" s="9"/>
      <c r="B63" s="9"/>
      <c r="C63" s="9"/>
      <c r="D63" s="9"/>
      <c r="E63" s="9"/>
      <c r="F63" s="101"/>
      <c r="G63" s="9"/>
      <c r="H63" s="9"/>
      <c r="I63" s="9"/>
    </row>
    <row r="64" ht="19.5" customHeight="1">
      <c r="A64" s="9"/>
      <c r="B64" s="9"/>
      <c r="C64" s="9"/>
      <c r="D64" s="9"/>
      <c r="E64" s="9"/>
      <c r="F64" s="101"/>
      <c r="G64" s="9"/>
      <c r="H64" s="9"/>
      <c r="I64" s="9"/>
    </row>
  </sheetData>
  <mergeCells count="47">
    <mergeCell ref="B4:E4"/>
    <mergeCell ref="B5:D5"/>
    <mergeCell ref="B6:D6"/>
    <mergeCell ref="B7:E7"/>
    <mergeCell ref="B9:H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H15"/>
    <mergeCell ref="B13:C13"/>
    <mergeCell ref="D13:E13"/>
    <mergeCell ref="F13:H13"/>
    <mergeCell ref="B14:C14"/>
    <mergeCell ref="D14:E14"/>
    <mergeCell ref="F14:H14"/>
    <mergeCell ref="B15:C15"/>
    <mergeCell ref="F18:H18"/>
    <mergeCell ref="F19:H19"/>
    <mergeCell ref="F48:G48"/>
    <mergeCell ref="F49:G49"/>
    <mergeCell ref="G50:H50"/>
    <mergeCell ref="B16:C16"/>
    <mergeCell ref="D16:E16"/>
    <mergeCell ref="F16:H16"/>
    <mergeCell ref="B17:C17"/>
    <mergeCell ref="F17:H17"/>
    <mergeCell ref="B18:C18"/>
    <mergeCell ref="B19:C19"/>
    <mergeCell ref="B23:E23"/>
    <mergeCell ref="B24:E24"/>
    <mergeCell ref="F24:H24"/>
    <mergeCell ref="B25:E25"/>
    <mergeCell ref="F25:H25"/>
    <mergeCell ref="B20:C20"/>
    <mergeCell ref="F20:H20"/>
    <mergeCell ref="B21:C21"/>
    <mergeCell ref="F21:H21"/>
    <mergeCell ref="B22:C22"/>
    <mergeCell ref="F22:H22"/>
    <mergeCell ref="F23:H2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